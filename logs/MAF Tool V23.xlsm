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tyles.xml" ContentType="application/vnd.openxmlformats-officedocument.spreadsheetml.styles+xml"/>
  <Override PartName="/xl/charts/colors3.xml" ContentType="application/vnd.ms-office.chartcolorstyle+xml"/>
  <Override PartName="/xl/charts/style2.xml" ContentType="application/vnd.ms-office.chartstyle+xml"/>
  <Override PartName="/xl/charts/chart1.xml" ContentType="application/vnd.openxmlformats-officedocument.drawingml.chart+xml"/>
  <Override PartName="/xl/charts/chart2.xml" ContentType="application/vnd.openxmlformats-officedocument.drawingml.chart+xml"/>
  <Override PartName="/xl/charts/colors11.xml" ContentType="application/vnd.ms-office.chartcolorstyle+xml"/>
  <Override PartName="/xl/charts/style1.xml" ContentType="application/vnd.ms-office.chartstyle+xml"/>
  <Override PartName="/xl/charts/chart3.xml" ContentType="application/vnd.openxmlformats-officedocument.drawingml.chart+xml"/>
  <Override PartName="/xl/charts/colors10.xml" ContentType="application/vnd.ms-office.chartcolorstyle+xml"/>
  <Override PartName="/xl/charts/colors1.xml" ContentType="application/vnd.ms-office.chartcolorstyle+xml"/>
  <Override PartName="/xl/charts/colors2.xml" ContentType="application/vnd.ms-office.chartcolorstyle+xml"/>
  <Override PartName="/xl/charts/style3.xml" ContentType="application/vnd.ms-office.chartstyle+xml"/>
  <Override PartName="/xl/charts/chart4.xml" ContentType="application/vnd.openxmlformats-officedocument.drawingml.chart+xml"/>
  <Override PartName="/xl/charts/colors5.xml" ContentType="application/vnd.ms-office.chartcolorstyle+xml"/>
  <Override PartName="/xl/charts/style4.xml" ContentType="application/vnd.ms-office.chartstyle+xml"/>
  <Override PartName="/xl/charts/style5.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olors7.xml" ContentType="application/vnd.ms-office.chartcolorstyle+xml"/>
  <Override PartName="/xl/charts/style6.xml" ContentType="application/vnd.ms-office.chartstyle+xml"/>
  <Override PartName="/xl/charts/style7.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olors9.xml" ContentType="application/vnd.ms-office.chartcolorstyle+xml"/>
  <Override PartName="/xl/charts/style8.xml" ContentType="application/vnd.ms-office.chartstyle+xml"/>
  <Override PartName="/xl/charts/style9.xml" ContentType="application/vnd.ms-office.chartstyle+xml"/>
  <Override PartName="/xl/charts/colors8.xml" ContentType="application/vnd.ms-office.chartcolorstyle+xml"/>
  <Override PartName="/xl/charts/chart9.xml" ContentType="application/vnd.openxmlformats-officedocument.drawingml.chart+xml"/>
  <Override PartName="/xl/charts/style11.xml" ContentType="application/vnd.ms-office.chartstyle+xml"/>
  <Override PartName="/xl/charts/chart10.xml" ContentType="application/vnd.openxmlformats-officedocument.drawingml.chart+xml"/>
  <Override PartName="/xl/charts/style10.xml" ContentType="application/vnd.ms-office.chartstyle+xml"/>
  <Override PartName="/xl/charts/chart11.xml" ContentType="application/vnd.openxmlformats-officedocument.drawingml.chart+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1"/>
  </bookViews>
  <sheets>
    <sheet name="Instructions" sheetId="1" state="visible" r:id="rId3"/>
    <sheet name="Shaping" sheetId="2" state="visible" r:id="rId4"/>
    <sheet name="IDLE" sheetId="3" state="visible" r:id="rId5"/>
    <sheet name="LOW" sheetId="4" state="visible" r:id="rId6"/>
    <sheet name="MID" sheetId="5" state="visible" r:id="rId7"/>
    <sheet name="HIGH" sheetId="6" state="visible" r:id="rId8"/>
    <sheet name="HALF 1" sheetId="7" state="visible" r:id="rId9"/>
    <sheet name="HALF 2" sheetId="8" state="visible" r:id="rId10"/>
    <sheet name="Focus" sheetId="9" state="visible" r:id="rId11"/>
    <sheet name="Sheet10" sheetId="10" state="visible" r:id="rId12"/>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<sst xmlns="http://schemas.openxmlformats.org/spreadsheetml/2006/main" count="59" uniqueCount="57">
  <si>
    <t xml:space="preserve">MAF SHAPING</t>
  </si>
  <si>
    <t xml:space="preserve">Josh F.</t>
  </si>
  <si>
    <t xml:space="preserve">RomRaider  - 86Inches</t>
  </si>
  <si>
    <t xml:space="preserve">NASIOC- 86Dreams</t>
  </si>
  <si>
    <t xml:space="preserve">Instructions</t>
  </si>
  <si>
    <t xml:space="preserve"> </t>
  </si>
  <si>
    <t xml:space="preserve">On this spread sheet I have made all the calibration points a bold bright green text, anything you should not touch is highlighted in grey.</t>
  </si>
  <si>
    <t xml:space="preserve">Paste in the MAF V scale you are to use.</t>
  </si>
  <si>
    <t xml:space="preserve">Paste the Scaled MAF into the MAF line.</t>
  </si>
  <si>
    <t xml:space="preserve">Paste the Stock MAF into the Comparison Line.</t>
  </si>
  <si>
    <t xml:space="preserve">Set the smallest MAF value, Start with what the smallest value is in stockcurve.</t>
  </si>
  <si>
    <t xml:space="preserve">Set the Tau constant to the Saturation Voltage (if unknown use the largest MAF V value)</t>
  </si>
  <si>
    <t xml:space="preserve">Set the Base exponent value, start with e.</t>
  </si>
  <si>
    <t xml:space="preserve">Set all CAL values to 0</t>
  </si>
  <si>
    <t xml:space="preserve">Now, look at the line called % Original MAF. PAY CLOSE ATTENTION TO THIS. Thats why I highlighted it.</t>
  </si>
  <si>
    <t xml:space="preserve">Then by changing the first 5 values for second derivative of the calculated MAF, "d2M/dV2 C" get the first 6 values of %Original as close to 1.000 as you can.</t>
  </si>
  <si>
    <t xml:space="preserve">Once that is done start adjusting the values in the CAL line. Observe the MAF Curve and the first derivative curve to see how well you're SHAPING the curve. Because this is a numerical integration Cal values at lower MAF V points will affect final values at high MAF V points.</t>
  </si>
  <si>
    <t xml:space="preserve">Notes</t>
  </si>
  <si>
    <t xml:space="preserve">Dont be afraid to use negitive numbers. Dont be afraid to adjust the base, tau or initial MAF C value to get things to line up.</t>
  </si>
  <si>
    <t xml:space="preserve">If you're starting from a good calibration already then be very very skeptical of any values that are more than 7% away from the original value. As I was developing this I made the mistake of reducing measured airflow in some of the idle cells down to 75-85% of original and the motor could barely stay running.</t>
  </si>
  <si>
    <t xml:space="preserve">You may need to drag out the rows if you have a larger number of boxes. If you do this you will need to also adjust the graph data ranges. Remember that for both row and column indicators in excel that a $ preceding the row/column reference donates that it is a constant that should not change during dragging.</t>
  </si>
  <si>
    <t xml:space="preserve">The Default Blue MAF is the Stock USDM 2002 WRX MAF. Red is the calculated MAF and as proof of concept I have matched it verry closely to the stock calibration (for example adjust base and uncover the blue curve). As an example the Default Comparison Curve (Green) is the MAF calibration I use for my vehicle, which has gone through many many revisions to get it right.</t>
  </si>
  <si>
    <t xml:space="preserve">This can suppliment some of the other tools available from other users that calculate Injector pulse width compensations and RPM vs MRP tables, etc.</t>
  </si>
  <si>
    <t xml:space="preserve">Versions</t>
  </si>
  <si>
    <t xml:space="preserve">unreleased development file</t>
  </si>
  <si>
    <t xml:space="preserve">first released version</t>
  </si>
  <si>
    <t xml:space="preserve">adds more tabs for different maf voltage regions</t>
  </si>
  <si>
    <t xml:space="preserve">dV</t>
  </si>
  <si>
    <t xml:space="preserve">MAF V</t>
  </si>
  <si>
    <t xml:space="preserve">MAF</t>
  </si>
  <si>
    <t xml:space="preserve">dM/dV</t>
  </si>
  <si>
    <t xml:space="preserve">d2M/dV2</t>
  </si>
  <si>
    <t xml:space="preserve">d2M/dV2 C</t>
  </si>
  <si>
    <t xml:space="preserve">dM/dV C</t>
  </si>
  <si>
    <t xml:space="preserve">Calculated MAF</t>
  </si>
  <si>
    <t xml:space="preserve">% Original MAF</t>
  </si>
  <si>
    <t xml:space="preserve">e^x  + cal</t>
  </si>
  <si>
    <t xml:space="preserve">Cal</t>
  </si>
  <si>
    <t xml:space="preserve">%Comparison</t>
  </si>
  <si>
    <t xml:space="preserve">Comparison</t>
  </si>
  <si>
    <t xml:space="preserve">dM.dV</t>
  </si>
  <si>
    <t xml:space="preserve">d2M/sV2</t>
  </si>
  <si>
    <t xml:space="preserve">e^(MAF V/Tau)</t>
  </si>
  <si>
    <t xml:space="preserve">Tau</t>
  </si>
  <si>
    <t xml:space="preserve">Saturation Voltage</t>
  </si>
  <si>
    <t xml:space="preserve">Exp Base</t>
  </si>
  <si>
    <t xml:space="preserve">vs</t>
  </si>
  <si>
    <t xml:space="preserve">e=</t>
  </si>
  <si>
    <t xml:space="preserve">bias high</t>
  </si>
  <si>
    <t xml:space="preserve">reference</t>
  </si>
  <si>
    <t xml:space="preserve">AFR Test</t>
  </si>
  <si>
    <t xml:space="preserve">IPW</t>
  </si>
  <si>
    <t xml:space="preserve">Maf err</t>
  </si>
  <si>
    <t xml:space="preserve">AFR</t>
  </si>
  <si>
    <t xml:space="preserve">AFR err</t>
  </si>
  <si>
    <t xml:space="preserve">correct</t>
  </si>
  <si>
    <t xml:space="preserve">incorrect</t>
  </si>
</sst>
</file>

<file path=xl/styles.xml><?xml version="1.0" encoding="utf-8"?>
<styleSheet xmlns="http://schemas.openxmlformats.org/spreadsheetml/2006/main">
  <numFmts count="6">
    <numFmt numFmtId="164" formatCode="General"/>
    <numFmt numFmtId="165" formatCode="[$$-409]#,##0.00;[RED]\-[$$-409]#,##0.00"/>
    <numFmt numFmtId="166" formatCode="[$-409]General"/>
    <numFmt numFmtId="167" formatCode="0.00"/>
    <numFmt numFmtId="168" formatCode="0.0000"/>
    <numFmt numFmtId="169" formatCode="[$-409]0.00"/>
  </numFmts>
  <fonts count="20">
    <font>
      <sz val="11"/>
      <color rgb="FF000000"/>
      <name val="Arial"/>
      <family val="2"/>
      <charset val="1"/>
    </font>
    <font>
      <sz val="10"/>
      <name val="Arial"/>
      <family val="0"/>
    </font>
    <font>
      <sz val="10"/>
      <name val="Arial"/>
      <family val="0"/>
    </font>
    <font>
      <sz val="10"/>
      <name val="Arial"/>
      <family val="0"/>
    </font>
    <font>
      <b val="true"/>
      <i val="true"/>
      <sz val="16"/>
      <color rgb="FF000000"/>
      <name val="Arial"/>
      <family val="2"/>
      <charset val="1"/>
    </font>
    <font>
      <b val="true"/>
      <i val="true"/>
      <u val="single"/>
      <sz val="11"/>
      <color rgb="FF000000"/>
      <name val="Arial"/>
      <family val="2"/>
      <charset val="1"/>
    </font>
    <font>
      <sz val="11"/>
      <color rgb="FF000000"/>
      <name val="Calibri"/>
      <family val="2"/>
      <charset val="1"/>
    </font>
    <font>
      <b val="true"/>
      <u val="single"/>
      <sz val="11"/>
      <color rgb="FF000000"/>
      <name val="Calibri"/>
      <family val="2"/>
      <charset val="1"/>
    </font>
    <font>
      <sz val="10"/>
      <color rgb="FF000000"/>
      <name val="Aptos Narrow"/>
      <family val="2"/>
    </font>
    <font>
      <b val="true"/>
      <sz val="11"/>
      <color rgb="FF000000"/>
      <name val="Calibri"/>
      <family val="2"/>
      <charset val="1"/>
    </font>
    <font>
      <b val="true"/>
      <sz val="11"/>
      <color rgb="FF0070C0"/>
      <name val="Calibri"/>
      <family val="2"/>
      <charset val="1"/>
    </font>
    <font>
      <sz val="11"/>
      <color rgb="FF0070C0"/>
      <name val="Calibri"/>
      <family val="2"/>
      <charset val="1"/>
    </font>
    <font>
      <b val="true"/>
      <sz val="11"/>
      <color rgb="FF632523"/>
      <name val="Calibri"/>
      <family val="2"/>
      <charset val="1"/>
    </font>
    <font>
      <b val="true"/>
      <sz val="11"/>
      <color rgb="FF00B050"/>
      <name val="Calibri"/>
      <family val="2"/>
      <charset val="1"/>
    </font>
    <font>
      <sz val="11"/>
      <color rgb="FF632523"/>
      <name val="Calibri"/>
      <family val="2"/>
      <charset val="1"/>
    </font>
    <font>
      <sz val="11"/>
      <color rgb="FF77933C"/>
      <name val="Calibri"/>
      <family val="2"/>
      <charset val="1"/>
    </font>
    <font>
      <sz val="6"/>
      <color rgb="FF000000"/>
      <name val="Arial"/>
      <family val="2"/>
      <charset val="1"/>
    </font>
    <font>
      <b val="true"/>
      <sz val="11"/>
      <color rgb="FF00B050"/>
      <name val="Arial"/>
      <family val="2"/>
      <charset val="1"/>
    </font>
    <font>
      <sz val="10"/>
      <color rgb="FF000000"/>
      <name val="Calibri"/>
      <family val="2"/>
    </font>
    <font>
      <sz val="11"/>
      <color rgb="FFFF0000"/>
      <name val="Calibri"/>
      <family val="2"/>
      <charset val="1"/>
    </font>
  </fonts>
  <fills count="5">
    <fill>
      <patternFill patternType="none"/>
    </fill>
    <fill>
      <patternFill patternType="gray125"/>
    </fill>
    <fill>
      <patternFill patternType="solid">
        <fgColor rgb="FFD9D9D9"/>
        <bgColor rgb="FFCCFFCC"/>
      </patternFill>
    </fill>
    <fill>
      <patternFill patternType="solid">
        <fgColor rgb="FFFFFF00"/>
        <bgColor rgb="FFFFF000"/>
      </patternFill>
    </fill>
    <fill>
      <patternFill patternType="solid">
        <fgColor rgb="FFFFF000"/>
        <bgColor rgb="FFFFFF00"/>
      </patternFill>
    </fill>
  </fills>
  <borders count="1">
    <border diagonalUp="false" diagonalDown="false">
      <left/>
      <right/>
      <top/>
      <bottom/>
      <diagonal/>
    </border>
  </borders>
  <cellStyleXfs count="2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center" vertical="bottom" textRotation="90" wrapText="false" indent="0" shrinkToFit="false"/>
      <protection locked="true" hidden="false"/>
    </xf>
    <xf numFmtId="164" fontId="4" fillId="0" borderId="0" applyFont="true" applyBorder="true" applyAlignment="true" applyProtection="true">
      <alignment horizontal="center"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cellStyleXfs>
  <cellXfs count="25">
    <xf numFmtId="164" fontId="0" fillId="0" borderId="0" xfId="0" applyFont="false" applyBorder="false" applyAlignment="false" applyProtection="false">
      <alignment horizontal="general" vertical="bottom" textRotation="0" wrapText="false" indent="0" shrinkToFit="false"/>
      <protection locked="true" hidden="false"/>
    </xf>
    <xf numFmtId="166" fontId="6" fillId="0" borderId="0" xfId="24" applyFont="false" applyBorder="false" applyAlignment="true" applyProtection="true">
      <alignment horizontal="general" vertical="bottom" textRotation="0" wrapText="false" indent="0" shrinkToFit="false"/>
      <protection locked="true" hidden="false"/>
    </xf>
    <xf numFmtId="166" fontId="7" fillId="0" borderId="0" xfId="24" applyFont="true" applyBorder="false" applyAlignment="true" applyProtection="true">
      <alignment horizontal="general" vertical="bottom" textRotation="0" wrapText="false" indent="0" shrinkToFit="false"/>
      <protection locked="true" hidden="false"/>
    </xf>
    <xf numFmtId="166" fontId="6" fillId="0" borderId="0" xfId="24" applyFont="false" applyBorder="false" applyAlignment="true" applyProtection="true">
      <alignment horizontal="center" vertical="center" textRotation="0" wrapText="false" indent="0" shrinkToFit="false"/>
      <protection locked="true" hidden="false"/>
    </xf>
    <xf numFmtId="166" fontId="9" fillId="0" borderId="0" xfId="24" applyFont="tru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6" fontId="10" fillId="0" borderId="0" xfId="24" applyFont="true" applyBorder="false" applyAlignment="true" applyProtection="true">
      <alignment horizontal="general" vertical="bottom" textRotation="0" wrapText="false" indent="0" shrinkToFit="false"/>
      <protection locked="true" hidden="false"/>
    </xf>
    <xf numFmtId="168" fontId="0" fillId="0" borderId="0" xfId="0" applyFont="false" applyBorder="false" applyAlignment="true" applyProtection="true">
      <alignment horizontal="general" vertical="bottom" textRotation="0" wrapText="false" indent="0" shrinkToFit="false"/>
      <protection locked="true" hidden="false"/>
    </xf>
    <xf numFmtId="166" fontId="11" fillId="0" borderId="0" xfId="24" applyFont="true" applyBorder="false" applyAlignment="true" applyProtection="true">
      <alignment horizontal="general" vertical="bottom" textRotation="0" wrapText="false" indent="0" shrinkToFit="false"/>
      <protection locked="true" hidden="false"/>
    </xf>
    <xf numFmtId="166" fontId="11" fillId="2" borderId="0" xfId="24" applyFont="true" applyBorder="false" applyAlignment="true" applyProtection="true">
      <alignment horizontal="general" vertical="bottom" textRotation="0" wrapText="false" indent="0" shrinkToFit="false"/>
      <protection locked="true" hidden="false"/>
    </xf>
    <xf numFmtId="166" fontId="12" fillId="0" borderId="0" xfId="24" applyFont="true" applyBorder="false" applyAlignment="true" applyProtection="true">
      <alignment horizontal="general" vertical="bottom" textRotation="0" wrapText="false" indent="0" shrinkToFit="false"/>
      <protection locked="true" hidden="false"/>
    </xf>
    <xf numFmtId="166" fontId="13" fillId="0" borderId="0" xfId="24" applyFont="true" applyBorder="false" applyAlignment="true" applyProtection="true">
      <alignment horizontal="general" vertical="bottom" textRotation="0" wrapText="false" indent="0" shrinkToFit="false"/>
      <protection locked="true" hidden="false"/>
    </xf>
    <xf numFmtId="164" fontId="14" fillId="2" borderId="0" xfId="24" applyFont="true" applyBorder="false" applyAlignment="true" applyProtection="true">
      <alignment horizontal="general" vertical="bottom" textRotation="0" wrapText="false" indent="0" shrinkToFit="false"/>
      <protection locked="true" hidden="false"/>
    </xf>
    <xf numFmtId="166" fontId="14" fillId="0" borderId="0" xfId="24" applyFont="true" applyBorder="false" applyAlignment="true" applyProtection="true">
      <alignment horizontal="general" vertical="bottom" textRotation="0" wrapText="false" indent="0" shrinkToFit="false"/>
      <protection locked="true" hidden="false"/>
    </xf>
    <xf numFmtId="166" fontId="14" fillId="3" borderId="0" xfId="24" applyFont="true" applyBorder="false" applyAlignment="true" applyProtection="true">
      <alignment horizontal="general" vertical="bottom" textRotation="0" wrapText="false" indent="0" shrinkToFit="false"/>
      <protection locked="true" hidden="false"/>
    </xf>
    <xf numFmtId="164" fontId="6" fillId="3" borderId="0" xfId="24" applyFont="false" applyBorder="false" applyAlignment="true" applyProtection="true">
      <alignment horizontal="general" vertical="bottom" textRotation="0" wrapText="false" indent="0" shrinkToFit="false"/>
      <protection locked="true" hidden="false"/>
    </xf>
    <xf numFmtId="166" fontId="6" fillId="2" borderId="0" xfId="24" applyFont="true" applyBorder="false" applyAlignment="true" applyProtection="true">
      <alignment horizontal="general" vertical="bottom" textRotation="0" wrapText="false" indent="0" shrinkToFit="false"/>
      <protection locked="true" hidden="false"/>
    </xf>
    <xf numFmtId="166" fontId="6" fillId="4" borderId="0" xfId="24" applyFont="true" applyBorder="false" applyAlignment="true" applyProtection="true">
      <alignment horizontal="general" vertical="bottom" textRotation="0" wrapText="false" indent="0" shrinkToFit="false"/>
      <protection locked="true" hidden="false"/>
    </xf>
    <xf numFmtId="166" fontId="15" fillId="0" borderId="0" xfId="24" applyFont="true" applyBorder="false" applyAlignment="true" applyProtection="true">
      <alignment horizontal="general" vertical="bottom" textRotation="0" wrapText="false" indent="0" shrinkToFit="false"/>
      <protection locked="true" hidden="false"/>
    </xf>
    <xf numFmtId="167" fontId="16" fillId="0" borderId="0" xfId="0" applyFont="true" applyBorder="false" applyAlignment="true" applyProtection="true">
      <alignment horizontal="general" vertical="bottom" textRotation="0" wrapText="false" indent="0" shrinkToFit="false"/>
      <protection locked="true" hidden="false"/>
    </xf>
    <xf numFmtId="166" fontId="15" fillId="2" borderId="0" xfId="24" applyFont="true" applyBorder="false" applyAlignment="true" applyProtection="true">
      <alignment horizontal="general" vertical="bottom" textRotation="0" wrapText="false" indent="0" shrinkToFit="false"/>
      <protection locked="true" hidden="false"/>
    </xf>
    <xf numFmtId="166" fontId="17" fillId="0" borderId="0" xfId="24" applyFont="true" applyBorder="false" applyAlignment="true" applyProtection="true">
      <alignment horizontal="general" vertical="bottom" textRotation="0" wrapText="false" indent="0" shrinkToFit="false"/>
      <protection locked="true" hidden="false"/>
    </xf>
    <xf numFmtId="164" fontId="19" fillId="0" borderId="0" xfId="24" applyFont="true" applyBorder="false" applyAlignment="true" applyProtection="true">
      <alignment horizontal="general" vertical="bottom" textRotation="0" wrapText="false" indent="0" shrinkToFit="false"/>
      <protection locked="true" hidden="false"/>
    </xf>
    <xf numFmtId="169" fontId="6" fillId="0" borderId="0" xfId="24"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cellXfs>
  <cellStyles count="11">
    <cellStyle name="Normal" xfId="0" builtinId="0"/>
    <cellStyle name="Comma" xfId="15" builtinId="3"/>
    <cellStyle name="Comma [0]" xfId="16" builtinId="6"/>
    <cellStyle name="Currency" xfId="17" builtinId="4"/>
    <cellStyle name="Currency [0]" xfId="18" builtinId="7"/>
    <cellStyle name="Percent" xfId="19" builtinId="5"/>
    <cellStyle name="Heading 1 1" xfId="20"/>
    <cellStyle name="Heading 3" xfId="21"/>
    <cellStyle name="Result 1" xfId="22"/>
    <cellStyle name="Result2" xfId="23"/>
    <cellStyle name="Excel Built-in Normal" xfId="24"/>
  </cellStyles>
  <colors>
    <indexedColors>
      <rgbColor rgb="FF000000"/>
      <rgbColor rgb="FFFFFFFF"/>
      <rgbColor rgb="FFFF0000"/>
      <rgbColor rgb="FF00FF00"/>
      <rgbColor rgb="FF0000FF"/>
      <rgbColor rgb="FFFFFF00"/>
      <rgbColor rgb="FFFF00FF"/>
      <rgbColor rgb="FF00FFFF"/>
      <rgbColor rgb="FF800000"/>
      <rgbColor rgb="FF196B24"/>
      <rgbColor rgb="FF000080"/>
      <rgbColor rgb="FF77933C"/>
      <rgbColor rgb="FF800080"/>
      <rgbColor rgb="FF0F9ED5"/>
      <rgbColor rgb="FFB3B3B3"/>
      <rgbColor rgb="FF878787"/>
      <rgbColor rgb="FF9999FF"/>
      <rgbColor rgb="FFBE4B48"/>
      <rgbColor rgb="FFFFFFCC"/>
      <rgbColor rgb="FFCCFFFF"/>
      <rgbColor rgb="FF660066"/>
      <rgbColor rgb="FFFF8080"/>
      <rgbColor rgb="FF0070C0"/>
      <rgbColor rgb="FFD9D9D9"/>
      <rgbColor rgb="FF000080"/>
      <rgbColor rgb="FFFF00FF"/>
      <rgbColor rgb="FFFFF000"/>
      <rgbColor rgb="FF00FFFF"/>
      <rgbColor rgb="FF800080"/>
      <rgbColor rgb="FF800000"/>
      <rgbColor rgb="FF00B050"/>
      <rgbColor rgb="FF0000FF"/>
      <rgbColor rgb="FF00CCFF"/>
      <rgbColor rgb="FFCCFFFF"/>
      <rgbColor rgb="FFCCFFCC"/>
      <rgbColor rgb="FFFFFF99"/>
      <rgbColor rgb="FF99CCFF"/>
      <rgbColor rgb="FFFF99CC"/>
      <rgbColor rgb="FFCC99FF"/>
      <rgbColor rgb="FFFFCC99"/>
      <rgbColor rgb="FF3366FF"/>
      <rgbColor rgb="FF33CCCC"/>
      <rgbColor rgb="FF98B855"/>
      <rgbColor rgb="FFFFCC00"/>
      <rgbColor rgb="FFFF9900"/>
      <rgbColor rgb="FFFF420E"/>
      <rgbColor rgb="FF4A7EBB"/>
      <rgbColor rgb="FF969696"/>
      <rgbColor rgb="FF004586"/>
      <rgbColor rgb="FF579D1C"/>
      <rgbColor rgb="FF003300"/>
      <rgbColor rgb="FF333300"/>
      <rgbColor rgb="FFC9211E"/>
      <rgbColor rgb="FF993366"/>
      <rgbColor rgb="FF333399"/>
      <rgbColor rgb="FF63252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s>
</file>

<file path=xl/charts/_rels/chart1.xml.rels><?xml version="1.0" encoding="UTF-8"?>
<Relationships xmlns="http://schemas.openxmlformats.org/package/2006/relationships"><Relationship Id="rId1" Type="http://schemas.microsoft.com/office/2011/relationships/chartStyle" Target="style1.xml"/><Relationship Id="rId2" Type="http://schemas.microsoft.com/office/2011/relationships/chartColorStyle" Target="colors1.xml"/>
</Relationships>
</file>

<file path=xl/charts/_rels/chart2.xml.rels><?xml version="1.0" encoding="UTF-8"?>
<Relationships xmlns="http://schemas.openxmlformats.org/package/2006/relationships"><Relationship Id="rId1" Type="http://schemas.microsoft.com/office/2011/relationships/chartStyle" Target="style2.xml"/><Relationship Id="rId2" Type="http://schemas.microsoft.com/office/2011/relationships/chartColorStyle" Target="colors2.xml"/>
</Relationships>
</file>

<file path=xl/charts/_rels/chart3.xml.rels><?xml version="1.0" encoding="UTF-8"?>
<Relationships xmlns="http://schemas.openxmlformats.org/package/2006/relationships"><Relationship Id="rId1" Type="http://schemas.microsoft.com/office/2011/relationships/chartStyle" Target="style3.xml"/><Relationship Id="rId2" Type="http://schemas.microsoft.com/office/2011/relationships/chartColorStyle" Target="colors3.xml"/>
</Relationships>
</file>

<file path=xl/charts/_rels/chart4.xml.rels><?xml version="1.0" encoding="UTF-8"?>
<Relationships xmlns="http://schemas.openxmlformats.org/package/2006/relationships"><Relationship Id="rId1" Type="http://schemas.microsoft.com/office/2011/relationships/chartStyle" Target="style4.xml"/><Relationship Id="rId2" Type="http://schemas.microsoft.com/office/2011/relationships/chartColorStyle" Target="colors4.xml"/>
</Relationships>
</file>

<file path=xl/charts/_rels/chart5.xml.rels><?xml version="1.0" encoding="UTF-8"?>
<Relationships xmlns="http://schemas.openxmlformats.org/package/2006/relationships"><Relationship Id="rId1" Type="http://schemas.microsoft.com/office/2011/relationships/chartStyle" Target="style5.xml"/><Relationship Id="rId2" Type="http://schemas.microsoft.com/office/2011/relationships/chartColorStyle" Target="colors5.xml"/>
</Relationships>
</file>

<file path=xl/charts/_rels/chart6.xml.rels><?xml version="1.0" encoding="UTF-8"?>
<Relationships xmlns="http://schemas.openxmlformats.org/package/2006/relationships"><Relationship Id="rId1" Type="http://schemas.microsoft.com/office/2011/relationships/chartStyle" Target="style6.xml"/><Relationship Id="rId2" Type="http://schemas.microsoft.com/office/2011/relationships/chartColorStyle" Target="colors6.xml"/>
</Relationships>
</file>

<file path=xl/charts/_rels/chart7.xml.rels><?xml version="1.0" encoding="UTF-8"?>
<Relationships xmlns="http://schemas.openxmlformats.org/package/2006/relationships"><Relationship Id="rId1" Type="http://schemas.microsoft.com/office/2011/relationships/chartStyle" Target="style7.xml"/><Relationship Id="rId2" Type="http://schemas.microsoft.com/office/2011/relationships/chartColorStyle" Target="colors7.xml"/>
</Relationships>
</file>

<file path=xl/charts/_rels/chart8.xml.rels><?xml version="1.0" encoding="UTF-8"?>
<Relationships xmlns="http://schemas.openxmlformats.org/package/2006/relationships"><Relationship Id="rId1" Type="http://schemas.microsoft.com/office/2011/relationships/chartStyle" Target="style8.xml"/><Relationship Id="rId2" Type="http://schemas.microsoft.com/office/2011/relationships/chartColorStyle" Target="colors8.xml"/>
</Relationships>
</file>

<file path=xl/charts/_rels/chart9.xml.rels><?xml version="1.0" encoding="UTF-8"?>
<Relationships xmlns="http://schemas.openxmlformats.org/package/2006/relationships"><Relationship Id="rId1" Type="http://schemas.microsoft.com/office/2011/relationships/chartStyle" Target="style9.xml"/><Relationship Id="rId2" Type="http://schemas.microsoft.com/office/2011/relationships/chartColorStyle" Target="colors9.xml"/>
</Relationships>
</file>

<file path=xl/charts/_rels/chart10.xml.rels><?xml version="1.0" encoding="UTF-8"?>
<Relationships xmlns="http://schemas.openxmlformats.org/package/2006/relationships"><Relationship Id="rId1" Type="http://schemas.microsoft.com/office/2011/relationships/chartStyle" Target="style10.xml"/><Relationship Id="rId2" Type="http://schemas.microsoft.com/office/2011/relationships/chartColorStyle" Target="colors10.xml"/>
</Relationships>
</file>

<file path=xl/charts/_rels/chart11.xml.rels><?xml version="1.0" encoding="UTF-8"?>
<Relationships xmlns="http://schemas.openxmlformats.org/package/2006/relationships"><Relationship Id="rId1" Type="http://schemas.microsoft.com/office/2011/relationships/chartStyle" Target="style11.xml"/><Relationship Id="rId2" Type="http://schemas.microsoft.com/office/2011/relationships/chartColorStyle" Target="colors11.xml"/>
</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scatterChart>
        <c:scatterStyle val="line"/>
        <c:varyColors val="0"/>
        <c:ser>
          <c:idx val="0"/>
          <c:order val="0"/>
          <c:spPr>
            <a:solidFill>
              <a:srgbClr val="004586"/>
            </a:solidFill>
            <a:ln w="28800">
              <a:solidFill>
                <a:srgbClr val="004586"/>
              </a:solidFill>
              <a:round/>
            </a:ln>
          </c:spPr>
          <c:marker>
            <c:symbol val="none"/>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Instructions!$B$48:$BC$48</c:f>
              <c:numCache>
                <c:formatCode>[$-409]General</c:formatCode>
                <c:ptCount val="54"/>
                <c:pt idx="0">
                  <c:v>0.8984375</c:v>
                </c:pt>
                <c:pt idx="1">
                  <c:v>0.9375</c:v>
                </c:pt>
                <c:pt idx="2">
                  <c:v>0.9765625</c:v>
                </c:pt>
                <c:pt idx="3">
                  <c:v>1.015625</c:v>
                </c:pt>
                <c:pt idx="4">
                  <c:v>1.0546875</c:v>
                </c:pt>
                <c:pt idx="5">
                  <c:v>1.09375</c:v>
                </c:pt>
                <c:pt idx="6">
                  <c:v>1.1328125</c:v>
                </c:pt>
                <c:pt idx="7">
                  <c:v>1.171875</c:v>
                </c:pt>
                <c:pt idx="8">
                  <c:v>1.2109375</c:v>
                </c:pt>
                <c:pt idx="9">
                  <c:v>1.25</c:v>
                </c:pt>
                <c:pt idx="10">
                  <c:v>1.2890625</c:v>
                </c:pt>
                <c:pt idx="11">
                  <c:v>1.328125</c:v>
                </c:pt>
                <c:pt idx="12">
                  <c:v>1.3671875</c:v>
                </c:pt>
                <c:pt idx="13">
                  <c:v>1.40625</c:v>
                </c:pt>
                <c:pt idx="14">
                  <c:v>1.484375</c:v>
                </c:pt>
                <c:pt idx="15">
                  <c:v>1.5625</c:v>
                </c:pt>
                <c:pt idx="16">
                  <c:v>1.640625</c:v>
                </c:pt>
                <c:pt idx="17">
                  <c:v>1.71875</c:v>
                </c:pt>
                <c:pt idx="18">
                  <c:v>1.796875</c:v>
                </c:pt>
                <c:pt idx="19">
                  <c:v>1.875</c:v>
                </c:pt>
                <c:pt idx="20">
                  <c:v>1.953125</c:v>
                </c:pt>
                <c:pt idx="21">
                  <c:v>2.03125</c:v>
                </c:pt>
                <c:pt idx="22">
                  <c:v>2.109375</c:v>
                </c:pt>
                <c:pt idx="23">
                  <c:v>2.1875</c:v>
                </c:pt>
                <c:pt idx="24">
                  <c:v>2.2265625</c:v>
                </c:pt>
                <c:pt idx="25">
                  <c:v>2.34375</c:v>
                </c:pt>
                <c:pt idx="26">
                  <c:v>2.421875</c:v>
                </c:pt>
                <c:pt idx="27">
                  <c:v>2.5390625</c:v>
                </c:pt>
                <c:pt idx="28">
                  <c:v>2.65625</c:v>
                </c:pt>
                <c:pt idx="29">
                  <c:v>2.7734375</c:v>
                </c:pt>
                <c:pt idx="30">
                  <c:v>2.890625</c:v>
                </c:pt>
                <c:pt idx="31">
                  <c:v>3.0078125</c:v>
                </c:pt>
                <c:pt idx="32">
                  <c:v>3.125</c:v>
                </c:pt>
                <c:pt idx="33">
                  <c:v>3.2421875</c:v>
                </c:pt>
                <c:pt idx="34">
                  <c:v>3.359375</c:v>
                </c:pt>
                <c:pt idx="35">
                  <c:v>3.4765625</c:v>
                </c:pt>
                <c:pt idx="36">
                  <c:v>3.59375</c:v>
                </c:pt>
                <c:pt idx="37">
                  <c:v>3.7109375</c:v>
                </c:pt>
                <c:pt idx="38">
                  <c:v>3.828125</c:v>
                </c:pt>
                <c:pt idx="39">
                  <c:v>3.9453125</c:v>
                </c:pt>
                <c:pt idx="40">
                  <c:v>4.0625</c:v>
                </c:pt>
                <c:pt idx="41">
                  <c:v>4.1796875</c:v>
                </c:pt>
                <c:pt idx="42">
                  <c:v>4.296875</c:v>
                </c:pt>
                <c:pt idx="43">
                  <c:v>4.4140625</c:v>
                </c:pt>
                <c:pt idx="44">
                  <c:v>4.4921875</c:v>
                </c:pt>
                <c:pt idx="45">
                  <c:v>4.5703125</c:v>
                </c:pt>
                <c:pt idx="46">
                  <c:v>4.609375</c:v>
                </c:pt>
                <c:pt idx="47">
                  <c:v>4.6484375</c:v>
                </c:pt>
                <c:pt idx="48">
                  <c:v>4.6875</c:v>
                </c:pt>
                <c:pt idx="49">
                  <c:v>4.7265625</c:v>
                </c:pt>
                <c:pt idx="50">
                  <c:v>4.8046875</c:v>
                </c:pt>
                <c:pt idx="51">
                  <c:v>4.8828125</c:v>
                </c:pt>
                <c:pt idx="52">
                  <c:v>4.9609375</c:v>
                </c:pt>
                <c:pt idx="53">
                  <c:v>5</c:v>
                </c:pt>
              </c:numCache>
            </c:numRef>
          </c:xVal>
          <c:yVal>
            <c:numRef>
              <c:f>Instructions!$B$49:$BC$49</c:f>
              <c:numCache>
                <c:formatCode>[$-409]General</c:formatCode>
                <c:ptCount val="54"/>
                <c:pt idx="0">
                  <c:v>1.1599999666214</c:v>
                </c:pt>
                <c:pt idx="1">
                  <c:v>1.44425535202026</c:v>
                </c:pt>
                <c:pt idx="2">
                  <c:v>1.65426504611969</c:v>
                </c:pt>
                <c:pt idx="3">
                  <c:v>1.88904738426209</c:v>
                </c:pt>
                <c:pt idx="4">
                  <c:v>2.10114598274231</c:v>
                </c:pt>
                <c:pt idx="5">
                  <c:v>2.37272810935974</c:v>
                </c:pt>
                <c:pt idx="6">
                  <c:v>2.66793704032898</c:v>
                </c:pt>
                <c:pt idx="7">
                  <c:v>2.98871183395386</c:v>
                </c:pt>
                <c:pt idx="8">
                  <c:v>3.33700799942017</c:v>
                </c:pt>
                <c:pt idx="9">
                  <c:v>3.66684937477112</c:v>
                </c:pt>
                <c:pt idx="10">
                  <c:v>4.04998016357422</c:v>
                </c:pt>
                <c:pt idx="11">
                  <c:v>4.44971513748169</c:v>
                </c:pt>
                <c:pt idx="12">
                  <c:v>4.91568946838379</c:v>
                </c:pt>
                <c:pt idx="13">
                  <c:v>5.4182276725769</c:v>
                </c:pt>
                <c:pt idx="14">
                  <c:v>6.82961225509644</c:v>
                </c:pt>
                <c:pt idx="15">
                  <c:v>7.8258261680603</c:v>
                </c:pt>
                <c:pt idx="16">
                  <c:v>9.12467098236084</c:v>
                </c:pt>
                <c:pt idx="17">
                  <c:v>10.4926776885986</c:v>
                </c:pt>
                <c:pt idx="18">
                  <c:v>12.2875146865845</c:v>
                </c:pt>
                <c:pt idx="19">
                  <c:v>14.289026260376</c:v>
                </c:pt>
                <c:pt idx="20">
                  <c:v>16.5720252990723</c:v>
                </c:pt>
                <c:pt idx="21">
                  <c:v>18.858325958252</c:v>
                </c:pt>
                <c:pt idx="22">
                  <c:v>21.2241973876953</c:v>
                </c:pt>
                <c:pt idx="23">
                  <c:v>24.2323207855225</c:v>
                </c:pt>
                <c:pt idx="24">
                  <c:v>25.4456348419189</c:v>
                </c:pt>
                <c:pt idx="25">
                  <c:v>29.6949005126953</c:v>
                </c:pt>
                <c:pt idx="26">
                  <c:v>33.6184234619141</c:v>
                </c:pt>
                <c:pt idx="27">
                  <c:v>37.6645584106445</c:v>
                </c:pt>
                <c:pt idx="28">
                  <c:v>43.1245307922363</c:v>
                </c:pt>
                <c:pt idx="29">
                  <c:v>48.9657783508301</c:v>
                </c:pt>
                <c:pt idx="30">
                  <c:v>54.5743255615234</c:v>
                </c:pt>
                <c:pt idx="31">
                  <c:v>66.8690643310547</c:v>
                </c:pt>
                <c:pt idx="32">
                  <c:v>73.3235473632813</c:v>
                </c:pt>
                <c:pt idx="33">
                  <c:v>82.8436279296875</c:v>
                </c:pt>
                <c:pt idx="34">
                  <c:v>91.2970962524414</c:v>
                </c:pt>
                <c:pt idx="35">
                  <c:v>101.548637390137</c:v>
                </c:pt>
                <c:pt idx="36">
                  <c:v>118.302085876465</c:v>
                </c:pt>
                <c:pt idx="37">
                  <c:v>136.085006713867</c:v>
                </c:pt>
                <c:pt idx="38">
                  <c:v>152.766723632813</c:v>
                </c:pt>
                <c:pt idx="39">
                  <c:v>170.485946655273</c:v>
                </c:pt>
                <c:pt idx="40">
                  <c:v>193.171936035156</c:v>
                </c:pt>
                <c:pt idx="41">
                  <c:v>209.727630615234</c:v>
                </c:pt>
                <c:pt idx="42">
                  <c:v>228.488204956055</c:v>
                </c:pt>
                <c:pt idx="43">
                  <c:v>248.467376708984</c:v>
                </c:pt>
                <c:pt idx="44">
                  <c:v>266.96435546875</c:v>
                </c:pt>
                <c:pt idx="45">
                  <c:v>285.545745849609</c:v>
                </c:pt>
                <c:pt idx="46">
                  <c:v>288.885559082031</c:v>
                </c:pt>
                <c:pt idx="47">
                  <c:v>292.225402832031</c:v>
                </c:pt>
                <c:pt idx="48">
                  <c:v>299.518402099609</c:v>
                </c:pt>
                <c:pt idx="49">
                  <c:v>307.676208496094</c:v>
                </c:pt>
                <c:pt idx="50">
                  <c:v>327.466796875</c:v>
                </c:pt>
                <c:pt idx="51">
                  <c:v>347.696105957031</c:v>
                </c:pt>
                <c:pt idx="52">
                  <c:v>368.380279541016</c:v>
                </c:pt>
                <c:pt idx="53">
                  <c:v>378.840240478516</c:v>
                </c:pt>
              </c:numCache>
            </c:numRef>
          </c:yVal>
          <c:smooth val="0"/>
        </c:ser>
        <c:ser>
          <c:idx val="1"/>
          <c:order val="1"/>
          <c:spPr>
            <a:solidFill>
              <a:srgbClr val="579D1C"/>
            </a:solidFill>
            <a:ln w="28800">
              <a:solidFill>
                <a:srgbClr val="579D1C"/>
              </a:solidFill>
              <a:round/>
            </a:ln>
          </c:spPr>
          <c:marker>
            <c:symbol val="none"/>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Instructions!$B$52:$BC$52</c:f>
              <c:numCache>
                <c:formatCode>[$-409]General</c:formatCode>
                <c:ptCount val="54"/>
                <c:pt idx="0">
                  <c:v>0.8984375</c:v>
                </c:pt>
                <c:pt idx="1">
                  <c:v>0.93</c:v>
                </c:pt>
                <c:pt idx="2">
                  <c:v>0.96</c:v>
                </c:pt>
                <c:pt idx="3">
                  <c:v>0.99</c:v>
                </c:pt>
                <c:pt idx="4">
                  <c:v>1.025</c:v>
                </c:pt>
                <c:pt idx="5">
                  <c:v>1.06</c:v>
                </c:pt>
                <c:pt idx="6">
                  <c:v>1.1</c:v>
                </c:pt>
                <c:pt idx="7">
                  <c:v>1.14</c:v>
                </c:pt>
                <c:pt idx="8">
                  <c:v>1.18</c:v>
                </c:pt>
                <c:pt idx="9">
                  <c:v>1.22</c:v>
                </c:pt>
                <c:pt idx="10">
                  <c:v>1.26</c:v>
                </c:pt>
                <c:pt idx="11">
                  <c:v>1.3</c:v>
                </c:pt>
                <c:pt idx="12">
                  <c:v>1.35</c:v>
                </c:pt>
                <c:pt idx="13">
                  <c:v>1.4</c:v>
                </c:pt>
                <c:pt idx="14">
                  <c:v>1.45</c:v>
                </c:pt>
                <c:pt idx="15">
                  <c:v>1.5</c:v>
                </c:pt>
                <c:pt idx="16">
                  <c:v>1.56</c:v>
                </c:pt>
                <c:pt idx="17">
                  <c:v>1.61</c:v>
                </c:pt>
                <c:pt idx="18">
                  <c:v>1.67</c:v>
                </c:pt>
                <c:pt idx="19">
                  <c:v>1.73</c:v>
                </c:pt>
                <c:pt idx="20">
                  <c:v>1.79</c:v>
                </c:pt>
                <c:pt idx="21">
                  <c:v>1.85</c:v>
                </c:pt>
                <c:pt idx="22">
                  <c:v>1.92</c:v>
                </c:pt>
                <c:pt idx="23">
                  <c:v>1.99</c:v>
                </c:pt>
                <c:pt idx="24">
                  <c:v>2.06</c:v>
                </c:pt>
                <c:pt idx="25">
                  <c:v>2.13</c:v>
                </c:pt>
                <c:pt idx="26">
                  <c:v>2.2</c:v>
                </c:pt>
                <c:pt idx="27">
                  <c:v>2.28</c:v>
                </c:pt>
                <c:pt idx="28">
                  <c:v>2.36</c:v>
                </c:pt>
                <c:pt idx="29">
                  <c:v>2.44</c:v>
                </c:pt>
                <c:pt idx="30">
                  <c:v>2.53</c:v>
                </c:pt>
                <c:pt idx="31">
                  <c:v>2.63</c:v>
                </c:pt>
                <c:pt idx="32">
                  <c:v>2.72</c:v>
                </c:pt>
                <c:pt idx="33">
                  <c:v>2.81</c:v>
                </c:pt>
                <c:pt idx="34">
                  <c:v>2.9</c:v>
                </c:pt>
                <c:pt idx="35">
                  <c:v>3</c:v>
                </c:pt>
                <c:pt idx="36">
                  <c:v>3.1</c:v>
                </c:pt>
                <c:pt idx="37">
                  <c:v>3.2</c:v>
                </c:pt>
                <c:pt idx="38">
                  <c:v>3.32</c:v>
                </c:pt>
                <c:pt idx="39">
                  <c:v>3.45</c:v>
                </c:pt>
                <c:pt idx="40">
                  <c:v>3.58</c:v>
                </c:pt>
                <c:pt idx="41">
                  <c:v>3.71</c:v>
                </c:pt>
                <c:pt idx="42">
                  <c:v>3.85</c:v>
                </c:pt>
                <c:pt idx="43">
                  <c:v>3.97</c:v>
                </c:pt>
                <c:pt idx="44">
                  <c:v>4.1</c:v>
                </c:pt>
                <c:pt idx="45">
                  <c:v>4.2</c:v>
                </c:pt>
                <c:pt idx="46">
                  <c:v>4.3</c:v>
                </c:pt>
                <c:pt idx="47">
                  <c:v>4.4</c:v>
                </c:pt>
                <c:pt idx="48">
                  <c:v>4.5</c:v>
                </c:pt>
                <c:pt idx="49">
                  <c:v>4.6</c:v>
                </c:pt>
                <c:pt idx="50">
                  <c:v>4.7</c:v>
                </c:pt>
                <c:pt idx="51">
                  <c:v>4.8</c:v>
                </c:pt>
                <c:pt idx="52">
                  <c:v>4.9</c:v>
                </c:pt>
                <c:pt idx="53">
                  <c:v>5</c:v>
                </c:pt>
              </c:numCache>
            </c:numRef>
          </c:xVal>
          <c:yVal>
            <c:numRef>
              <c:f>Instructions!$B$53:$BC$53</c:f>
              <c:numCache>
                <c:formatCode>[$-409]General</c:formatCode>
                <c:ptCount val="54"/>
                <c:pt idx="0">
                  <c:v>1.1599999666</c:v>
                </c:pt>
                <c:pt idx="1">
                  <c:v>1.3726316266</c:v>
                </c:pt>
                <c:pt idx="2">
                  <c:v>1.5449999729</c:v>
                </c:pt>
                <c:pt idx="3">
                  <c:v>1.7099999213</c:v>
                </c:pt>
                <c:pt idx="4">
                  <c:v>1.9250001391</c:v>
                </c:pt>
                <c:pt idx="5">
                  <c:v>2.1675000849</c:v>
                </c:pt>
                <c:pt idx="6">
                  <c:v>2.4449997544</c:v>
                </c:pt>
                <c:pt idx="7">
                  <c:v>2.750000174</c:v>
                </c:pt>
                <c:pt idx="8">
                  <c:v>3.0775001839</c:v>
                </c:pt>
                <c:pt idx="9">
                  <c:v>3.4224997187</c:v>
                </c:pt>
                <c:pt idx="10">
                  <c:v>3.7650001955</c:v>
                </c:pt>
                <c:pt idx="11">
                  <c:v>4.1500002742</c:v>
                </c:pt>
                <c:pt idx="12">
                  <c:v>4.6849996626</c:v>
                </c:pt>
                <c:pt idx="13">
                  <c:v>5.2950003743</c:v>
                </c:pt>
                <c:pt idx="14">
                  <c:v>6.2257143434</c:v>
                </c:pt>
                <c:pt idx="15">
                  <c:v>7.0799999237</c:v>
                </c:pt>
                <c:pt idx="16">
                  <c:v>7.8300008464</c:v>
                </c:pt>
                <c:pt idx="17">
                  <c:v>8.63625039</c:v>
                </c:pt>
                <c:pt idx="18">
                  <c:v>9.633749812</c:v>
                </c:pt>
                <c:pt idx="19">
                  <c:v>10.7149993658</c:v>
                </c:pt>
                <c:pt idx="20">
                  <c:v>12.0650007963</c:v>
                </c:pt>
                <c:pt idx="21">
                  <c:v>13.5400004834</c:v>
                </c:pt>
                <c:pt idx="22">
                  <c:v>15.5928561312</c:v>
                </c:pt>
                <c:pt idx="23">
                  <c:v>17.7149998796</c:v>
                </c:pt>
                <c:pt idx="24">
                  <c:v>19.745001812</c:v>
                </c:pt>
                <c:pt idx="25">
                  <c:v>21.9725017926</c:v>
                </c:pt>
                <c:pt idx="26">
                  <c:v>24.3824989676</c:v>
                </c:pt>
                <c:pt idx="27">
                  <c:v>26.0557167489</c:v>
                </c:pt>
                <c:pt idx="28">
                  <c:v>30.6725023588</c:v>
                </c:pt>
                <c:pt idx="29">
                  <c:v>34.2933304914</c:v>
                </c:pt>
                <c:pt idx="30">
                  <c:v>37.3233340677</c:v>
                </c:pt>
                <c:pt idx="31">
                  <c:v>41.7549966657</c:v>
                </c:pt>
                <c:pt idx="32">
                  <c:v>46.3109077497</c:v>
                </c:pt>
                <c:pt idx="33">
                  <c:v>50.8366663403</c:v>
                </c:pt>
                <c:pt idx="34">
                  <c:v>55.594990174</c:v>
                </c:pt>
                <c:pt idx="35">
                  <c:v>65.8450024923</c:v>
                </c:pt>
                <c:pt idx="36">
                  <c:v>71.7074959725</c:v>
                </c:pt>
                <c:pt idx="37">
                  <c:v>79.37817525</c:v>
                </c:pt>
                <c:pt idx="38">
                  <c:v>88.4800055202</c:v>
                </c:pt>
                <c:pt idx="39">
                  <c:v>98.98750407</c:v>
                </c:pt>
                <c:pt idx="40">
                  <c:v>116.7772873965</c:v>
                </c:pt>
                <c:pt idx="41">
                  <c:v>136.0899906826</c:v>
                </c:pt>
                <c:pt idx="42">
                  <c:v>155.7233460241</c:v>
                </c:pt>
                <c:pt idx="43">
                  <c:v>174.6136346262</c:v>
                </c:pt>
                <c:pt idx="44">
                  <c:v>198.6900105159</c:v>
                </c:pt>
                <c:pt idx="45">
                  <c:v>212.8566814157</c:v>
                </c:pt>
                <c:pt idx="46">
                  <c:v>228.489975675</c:v>
                </c:pt>
                <c:pt idx="47">
                  <c:v>246.6536600192</c:v>
                </c:pt>
                <c:pt idx="48">
                  <c:v>269.283782549</c:v>
                </c:pt>
                <c:pt idx="49">
                  <c:v>288.0549959897</c:v>
                </c:pt>
                <c:pt idx="50">
                  <c:v>301.5599802017</c:v>
                </c:pt>
                <c:pt idx="51">
                  <c:v>327.4699472973</c:v>
                </c:pt>
                <c:pt idx="52">
                  <c:v>352.8699857235</c:v>
                </c:pt>
                <c:pt idx="53">
                  <c:v>378.8399963379</c:v>
                </c:pt>
              </c:numCache>
            </c:numRef>
          </c:yVal>
          <c:smooth val="0"/>
        </c:ser>
        <c:axId val="15463288"/>
        <c:axId val="39178752"/>
      </c:scatterChart>
      <c:valAx>
        <c:axId val="15463288"/>
        <c:scaling>
          <c:orientation val="minMax"/>
          <c:max val="2.5"/>
          <c:min val="2"/>
        </c:scaling>
        <c:delete val="0"/>
        <c:axPos val="b"/>
        <c:majorGridlines>
          <c:spPr>
            <a:ln w="12600">
              <a:solidFill>
                <a:srgbClr val="B3B3B3"/>
              </a:solidFill>
              <a:round/>
            </a:ln>
          </c:spPr>
        </c:majorGridlines>
        <c:numFmt formatCode="[$-409]General" sourceLinked="0"/>
        <c:majorTickMark val="none"/>
        <c:minorTickMark val="none"/>
        <c:tickLblPos val="nextTo"/>
        <c:spPr>
          <a:ln w="12600">
            <a:solidFill>
              <a:srgbClr val="B3B3B3"/>
            </a:solidFill>
            <a:round/>
          </a:ln>
        </c:spPr>
        <c:txPr>
          <a:bodyPr/>
          <a:lstStyle/>
          <a:p>
            <a:pPr>
              <a:defRPr sz="1000" b="0" u="none" strike="noStrike">
                <a:solidFill>
                  <a:srgbClr val="000000"/>
                </a:solidFill>
                <a:uFillTx/>
                <a:latin typeface="Aptos Narrow"/>
                <a:ea typeface="DejaVu Sans"/>
              </a:defRPr>
            </a:pPr>
          </a:p>
        </c:txPr>
        <c:crossAx val="39178752"/>
        <c:crossesAt val="0"/>
        <c:crossBetween val="midCat"/>
      </c:valAx>
      <c:valAx>
        <c:axId val="39178752"/>
        <c:scaling>
          <c:orientation val="minMax"/>
        </c:scaling>
        <c:delete val="0"/>
        <c:axPos val="l"/>
        <c:majorGridlines>
          <c:spPr>
            <a:ln w="12600">
              <a:solidFill>
                <a:srgbClr val="B3B3B3"/>
              </a:solidFill>
              <a:round/>
            </a:ln>
          </c:spPr>
        </c:majorGridlines>
        <c:numFmt formatCode="[$-409]General" sourceLinked="0"/>
        <c:majorTickMark val="none"/>
        <c:minorTickMark val="none"/>
        <c:tickLblPos val="nextTo"/>
        <c:spPr>
          <a:ln w="12600">
            <a:solidFill>
              <a:srgbClr val="B3B3B3"/>
            </a:solidFill>
            <a:round/>
          </a:ln>
        </c:spPr>
        <c:txPr>
          <a:bodyPr/>
          <a:lstStyle/>
          <a:p>
            <a:pPr>
              <a:defRPr sz="1000" b="0" u="none" strike="noStrike">
                <a:solidFill>
                  <a:srgbClr val="000000"/>
                </a:solidFill>
                <a:uFillTx/>
                <a:latin typeface="Aptos Narrow"/>
                <a:ea typeface="DejaVu Sans"/>
              </a:defRPr>
            </a:pPr>
          </a:p>
        </c:txPr>
        <c:crossAx val="15463288"/>
        <c:crossesAt val="0"/>
        <c:crossBetween val="midCat"/>
      </c:valAx>
      <c:spPr>
        <a:noFill/>
        <a:ln w="0">
          <a:solidFill>
            <a:srgbClr val="B3B3B3"/>
          </a:solidFill>
        </a:ln>
      </c:spPr>
    </c:plotArea>
    <c:plotVisOnly val="1"/>
    <c:dispBlanksAs val="gap"/>
  </c:chart>
  <c:spPr>
    <a:solidFill>
      <a:srgbClr val="FFFFFF"/>
    </a:solidFill>
    <a:ln w="9360">
      <a:noFill/>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layoutTarget val="inner"/>
          <c:xMode val="edge"/>
          <c:yMode val="edge"/>
          <c:x val="0.0575932848980743"/>
          <c:y val="0.0236355154719328"/>
          <c:w val="0.913909853988855"/>
          <c:h val="0.939045249572384"/>
        </c:manualLayout>
      </c:layout>
      <c:scatterChart>
        <c:scatterStyle val="lineMarker"/>
        <c:varyColors val="0"/>
        <c:ser>
          <c:idx val="0"/>
          <c:order val="0"/>
          <c:tx>
            <c:strRef>
              <c:f>Shaping!$A$4</c:f>
              <c:strCache>
                <c:ptCount val="1"/>
                <c:pt idx="0">
                  <c:v>MAF</c:v>
                </c:pt>
              </c:strCache>
            </c:strRef>
          </c:tx>
          <c:spPr>
            <a:solidFill>
              <a:srgbClr val="4A7EBB"/>
            </a:solidFill>
            <a:ln w="28440">
              <a:solidFill>
                <a:srgbClr val="4A7EBB"/>
              </a:solidFill>
              <a:round/>
            </a:ln>
          </c:spPr>
          <c:marker>
            <c:symbol val="diamond"/>
            <c:size val="5"/>
            <c:spPr>
              <a:solidFill>
                <a:srgbClr val="4A7EBB"/>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Shaping!$C$3:$BC$3</c:f>
              <c:numCache>
                <c:formatCode>0.00</c:formatCode>
                <c:ptCount val="53"/>
                <c:pt idx="0">
                  <c:v>0.939999997615814</c:v>
                </c:pt>
                <c:pt idx="1">
                  <c:v>0.987100005149841</c:v>
                </c:pt>
                <c:pt idx="2">
                  <c:v>1</c:v>
                </c:pt>
                <c:pt idx="3">
                  <c:v>1.05869996547699</c:v>
                </c:pt>
                <c:pt idx="4">
                  <c:v>1.07270002365112</c:v>
                </c:pt>
                <c:pt idx="5">
                  <c:v>1.1282000541687</c:v>
                </c:pt>
                <c:pt idx="6">
                  <c:v>1.14030003547669</c:v>
                </c:pt>
                <c:pt idx="7">
                  <c:v>1.18040001392365</c:v>
                </c:pt>
                <c:pt idx="8">
                  <c:v>1.22010004520416</c:v>
                </c:pt>
                <c:pt idx="9">
                  <c:v>1.27999997138977</c:v>
                </c:pt>
                <c:pt idx="10">
                  <c:v>1.30209994316101</c:v>
                </c:pt>
                <c:pt idx="11">
                  <c:v>1.36280000209808</c:v>
                </c:pt>
                <c:pt idx="12">
                  <c:v>1.39479994773865</c:v>
                </c:pt>
                <c:pt idx="13">
                  <c:v>1.45000004768372</c:v>
                </c:pt>
                <c:pt idx="14">
                  <c:v>1.48010003566742</c:v>
                </c:pt>
                <c:pt idx="15">
                  <c:v>1.54729998111725</c:v>
                </c:pt>
                <c:pt idx="16">
                  <c:v>1.59300005435944</c:v>
                </c:pt>
                <c:pt idx="17">
                  <c:v>1.64170002937317</c:v>
                </c:pt>
                <c:pt idx="18">
                  <c:v>1.67999994754791</c:v>
                </c:pt>
                <c:pt idx="19">
                  <c:v>1.74510002136231</c:v>
                </c:pt>
                <c:pt idx="20">
                  <c:v>1.80999994277954</c:v>
                </c:pt>
                <c:pt idx="21">
                  <c:v>1.85000002384186</c:v>
                </c:pt>
                <c:pt idx="22">
                  <c:v>1.9099999666214</c:v>
                </c:pt>
                <c:pt idx="23">
                  <c:v>1.98880004882813</c:v>
                </c:pt>
                <c:pt idx="24">
                  <c:v>2.04999995231628</c:v>
                </c:pt>
                <c:pt idx="25">
                  <c:v>2.11520004272461</c:v>
                </c:pt>
                <c:pt idx="26">
                  <c:v>2.16820001602173</c:v>
                </c:pt>
                <c:pt idx="27">
                  <c:v>2.25300002098084</c:v>
                </c:pt>
                <c:pt idx="28">
                  <c:v>2.28489995002747</c:v>
                </c:pt>
                <c:pt idx="29">
                  <c:v>2.38770008087158</c:v>
                </c:pt>
                <c:pt idx="30">
                  <c:v>2.44899988174439</c:v>
                </c:pt>
                <c:pt idx="31">
                  <c:v>2.54819989204407</c:v>
                </c:pt>
                <c:pt idx="32">
                  <c:v>2.61999988555908</c:v>
                </c:pt>
                <c:pt idx="33">
                  <c:v>2.73270010948181</c:v>
                </c:pt>
                <c:pt idx="34">
                  <c:v>2.82739996910095</c:v>
                </c:pt>
                <c:pt idx="35">
                  <c:v>2.91249990463257</c:v>
                </c:pt>
                <c:pt idx="36">
                  <c:v>2.99000000953674</c:v>
                </c:pt>
                <c:pt idx="37">
                  <c:v>3.06539988517761</c:v>
                </c:pt>
                <c:pt idx="38">
                  <c:v>3.15079998970032</c:v>
                </c:pt>
                <c:pt idx="39">
                  <c:v>3.25999999046326</c:v>
                </c:pt>
                <c:pt idx="40">
                  <c:v>3.40799999237061</c:v>
                </c:pt>
                <c:pt idx="41">
                  <c:v>3.51999998092651</c:v>
                </c:pt>
                <c:pt idx="42">
                  <c:v>3.6136999130249</c:v>
                </c:pt>
                <c:pt idx="43">
                  <c:v>3.70980000495911</c:v>
                </c:pt>
                <c:pt idx="44">
                  <c:v>3.83999991416931</c:v>
                </c:pt>
                <c:pt idx="45">
                  <c:v>3.96770000457764</c:v>
                </c:pt>
                <c:pt idx="46">
                  <c:v>4.1100001335144</c:v>
                </c:pt>
                <c:pt idx="47">
                  <c:v>4.23379993438721</c:v>
                </c:pt>
                <c:pt idx="48">
                  <c:v>4.36899995803833</c:v>
                </c:pt>
                <c:pt idx="49">
                  <c:v>4.51999998092651</c:v>
                </c:pt>
                <c:pt idx="50">
                  <c:v>4.66709995269775</c:v>
                </c:pt>
                <c:pt idx="51">
                  <c:v>4.78999996185303</c:v>
                </c:pt>
                <c:pt idx="52">
                  <c:v>4.96339988708496</c:v>
                </c:pt>
              </c:numCache>
            </c:numRef>
          </c:xVal>
          <c:yVal>
            <c:numRef>
              <c:f>Shaping!$C$4:$BC$4</c:f>
              <c:numCache>
                <c:formatCode>0.0000</c:formatCode>
                <c:ptCount val="53"/>
                <c:pt idx="0">
                  <c:v>1.39710319042206</c:v>
                </c:pt>
                <c:pt idx="1">
                  <c:v>1.56088542938232</c:v>
                </c:pt>
                <c:pt idx="2">
                  <c:v>1.73435366153717</c:v>
                </c:pt>
                <c:pt idx="3">
                  <c:v>1.84894692897797</c:v>
                </c:pt>
                <c:pt idx="4">
                  <c:v>2.06866574287415</c:v>
                </c:pt>
                <c:pt idx="5">
                  <c:v>2.54945755004883</c:v>
                </c:pt>
                <c:pt idx="6">
                  <c:v>2.76079678535461</c:v>
                </c:pt>
                <c:pt idx="7">
                  <c:v>3.19979906082153</c:v>
                </c:pt>
                <c:pt idx="8">
                  <c:v>3.89676022529602</c:v>
                </c:pt>
                <c:pt idx="9">
                  <c:v>4.44396162033081</c:v>
                </c:pt>
                <c:pt idx="10">
                  <c:v>4.56136798858643</c:v>
                </c:pt>
                <c:pt idx="11">
                  <c:v>5.62495613098145</c:v>
                </c:pt>
                <c:pt idx="12">
                  <c:v>6.22537088394165</c:v>
                </c:pt>
                <c:pt idx="13">
                  <c:v>6.43613862991333</c:v>
                </c:pt>
                <c:pt idx="14">
                  <c:v>7.57886123657227</c:v>
                </c:pt>
                <c:pt idx="15">
                  <c:v>7.80774879455566</c:v>
                </c:pt>
                <c:pt idx="16">
                  <c:v>9.45653247833252</c:v>
                </c:pt>
                <c:pt idx="17">
                  <c:v>9.964599609375</c:v>
                </c:pt>
                <c:pt idx="18">
                  <c:v>11.0770998001099</c:v>
                </c:pt>
                <c:pt idx="19">
                  <c:v>12.5194997787476</c:v>
                </c:pt>
                <c:pt idx="20">
                  <c:v>15.0081624984741</c:v>
                </c:pt>
                <c:pt idx="21">
                  <c:v>15.6571998596191</c:v>
                </c:pt>
                <c:pt idx="22">
                  <c:v>17.5491237640381</c:v>
                </c:pt>
                <c:pt idx="23">
                  <c:v>20.1315269470215</c:v>
                </c:pt>
                <c:pt idx="24">
                  <c:v>22.0675048828125</c:v>
                </c:pt>
                <c:pt idx="25">
                  <c:v>24.2800731658936</c:v>
                </c:pt>
                <c:pt idx="26">
                  <c:v>27.4472961425781</c:v>
                </c:pt>
                <c:pt idx="27">
                  <c:v>30.9146862030029</c:v>
                </c:pt>
                <c:pt idx="28">
                  <c:v>33.7314414978027</c:v>
                </c:pt>
                <c:pt idx="29">
                  <c:v>37.5734634399414</c:v>
                </c:pt>
                <c:pt idx="30">
                  <c:v>42.2183265686035</c:v>
                </c:pt>
                <c:pt idx="31">
                  <c:v>47.372917175293</c:v>
                </c:pt>
                <c:pt idx="32">
                  <c:v>50.5260696411133</c:v>
                </c:pt>
                <c:pt idx="33">
                  <c:v>58.5389595031738</c:v>
                </c:pt>
                <c:pt idx="34">
                  <c:v>67.1706237792969</c:v>
                </c:pt>
                <c:pt idx="35">
                  <c:v>72.7894744873047</c:v>
                </c:pt>
                <c:pt idx="36">
                  <c:v>84.9892501831055</c:v>
                </c:pt>
                <c:pt idx="37">
                  <c:v>90.1319732666016</c:v>
                </c:pt>
                <c:pt idx="38">
                  <c:v>100.619087219238</c:v>
                </c:pt>
                <c:pt idx="39">
                  <c:v>114.256034851074</c:v>
                </c:pt>
                <c:pt idx="40">
                  <c:v>138.519149780273</c:v>
                </c:pt>
                <c:pt idx="41">
                  <c:v>165.102005004883</c:v>
                </c:pt>
                <c:pt idx="42">
                  <c:v>172.401794433594</c:v>
                </c:pt>
                <c:pt idx="43">
                  <c:v>177.898651123047</c:v>
                </c:pt>
                <c:pt idx="44">
                  <c:v>203.509963989258</c:v>
                </c:pt>
                <c:pt idx="45">
                  <c:v>232.278167724609</c:v>
                </c:pt>
                <c:pt idx="46">
                  <c:v>262.958587646484</c:v>
                </c:pt>
                <c:pt idx="47">
                  <c:v>291.804168701172</c:v>
                </c:pt>
                <c:pt idx="48">
                  <c:v>323.187774658203</c:v>
                </c:pt>
                <c:pt idx="49">
                  <c:v>356.452819824219</c:v>
                </c:pt>
                <c:pt idx="50">
                  <c:v>379.2666015625</c:v>
                </c:pt>
                <c:pt idx="51">
                  <c:v>404.859191894531</c:v>
                </c:pt>
                <c:pt idx="52">
                  <c:v>440.614990234375</c:v>
                </c:pt>
              </c:numCache>
            </c:numRef>
          </c:yVal>
          <c:smooth val="0"/>
        </c:ser>
        <c:ser>
          <c:idx val="1"/>
          <c:order val="1"/>
          <c:tx>
            <c:strRef>
              <c:f>Shaping!$A$20</c:f>
              <c:strCache>
                <c:ptCount val="1"/>
                <c:pt idx="0">
                  <c:v>reference</c:v>
                </c:pt>
              </c:strCache>
            </c:strRef>
          </c:tx>
          <c:spPr>
            <a:solidFill>
              <a:srgbClr val="98B855"/>
            </a:solidFill>
            <a:ln w="28440">
              <a:solidFill>
                <a:srgbClr val="98B855"/>
              </a:solidFill>
              <a:round/>
            </a:ln>
          </c:spPr>
          <c:marker>
            <c:symbol val="triangle"/>
            <c:size val="5"/>
            <c:spPr>
              <a:solidFill>
                <a:srgbClr val="98B855"/>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Shaping!$B$20:$BC$20</c:f>
              <c:numCache>
                <c:formatCode>[$-409]General</c:formatCode>
                <c:ptCount val="54"/>
                <c:pt idx="0">
                  <c:v>0.9200000166893</c:v>
                </c:pt>
                <c:pt idx="1">
                  <c:v>0.949999988079071</c:v>
                </c:pt>
                <c:pt idx="2">
                  <c:v>0.980000019073486</c:v>
                </c:pt>
                <c:pt idx="3">
                  <c:v>1.00999999046326</c:v>
                </c:pt>
                <c:pt idx="4">
                  <c:v>1.04999995231628</c:v>
                </c:pt>
                <c:pt idx="5">
                  <c:v>1.08000004291534</c:v>
                </c:pt>
                <c:pt idx="6">
                  <c:v>1.12000000476837</c:v>
                </c:pt>
                <c:pt idx="7">
                  <c:v>1.14999997615814</c:v>
                </c:pt>
                <c:pt idx="8">
                  <c:v>1.19000005722046</c:v>
                </c:pt>
                <c:pt idx="9">
                  <c:v>1.23000001907349</c:v>
                </c:pt>
                <c:pt idx="10">
                  <c:v>1.26999998092651</c:v>
                </c:pt>
                <c:pt idx="11">
                  <c:v>1.30999994277954</c:v>
                </c:pt>
                <c:pt idx="12">
                  <c:v>1.36000001430512</c:v>
                </c:pt>
                <c:pt idx="13">
                  <c:v>1.39999997615814</c:v>
                </c:pt>
                <c:pt idx="14">
                  <c:v>1.44000005722046</c:v>
                </c:pt>
                <c:pt idx="15">
                  <c:v>1.49000000953674</c:v>
                </c:pt>
                <c:pt idx="16">
                  <c:v>1.53999996185303</c:v>
                </c:pt>
                <c:pt idx="17">
                  <c:v>1.5900000333786</c:v>
                </c:pt>
                <c:pt idx="18">
                  <c:v>1.63999998569489</c:v>
                </c:pt>
                <c:pt idx="19">
                  <c:v>1.69000005722046</c:v>
                </c:pt>
                <c:pt idx="20">
                  <c:v>1.75</c:v>
                </c:pt>
                <c:pt idx="21">
                  <c:v>1.79999995231628</c:v>
                </c:pt>
                <c:pt idx="22">
                  <c:v>1.86000001430512</c:v>
                </c:pt>
                <c:pt idx="23">
                  <c:v>1.91999995708466</c:v>
                </c:pt>
                <c:pt idx="24">
                  <c:v>1.98000001907349</c:v>
                </c:pt>
                <c:pt idx="25">
                  <c:v>2.03999996185303</c:v>
                </c:pt>
                <c:pt idx="26">
                  <c:v>2.10999989509583</c:v>
                </c:pt>
                <c:pt idx="27">
                  <c:v>2.17000007629394</c:v>
                </c:pt>
                <c:pt idx="28">
                  <c:v>2.24000000953674</c:v>
                </c:pt>
                <c:pt idx="29">
                  <c:v>2.3199999332428</c:v>
                </c:pt>
                <c:pt idx="30">
                  <c:v>2.39000010490417</c:v>
                </c:pt>
                <c:pt idx="31">
                  <c:v>2.47000002861023</c:v>
                </c:pt>
                <c:pt idx="32">
                  <c:v>2.54999995231628</c:v>
                </c:pt>
                <c:pt idx="33">
                  <c:v>2.63000011444092</c:v>
                </c:pt>
                <c:pt idx="34">
                  <c:v>2.73710012435913</c:v>
                </c:pt>
                <c:pt idx="35">
                  <c:v>2.8199999332428</c:v>
                </c:pt>
                <c:pt idx="36">
                  <c:v>2.91000008583069</c:v>
                </c:pt>
                <c:pt idx="37">
                  <c:v>2.98000001907349</c:v>
                </c:pt>
                <c:pt idx="38">
                  <c:v>3.0699999332428</c:v>
                </c:pt>
                <c:pt idx="39">
                  <c:v>3.16000008583069</c:v>
                </c:pt>
                <c:pt idx="40">
                  <c:v>3.26999998092651</c:v>
                </c:pt>
                <c:pt idx="41">
                  <c:v>3.40000009536743</c:v>
                </c:pt>
                <c:pt idx="42">
                  <c:v>3.50999999046326</c:v>
                </c:pt>
                <c:pt idx="43">
                  <c:v>3.60999989509583</c:v>
                </c:pt>
                <c:pt idx="44">
                  <c:v>3.71000003814697</c:v>
                </c:pt>
                <c:pt idx="45">
                  <c:v>3.84999990463257</c:v>
                </c:pt>
                <c:pt idx="46">
                  <c:v>3.97499990463257</c:v>
                </c:pt>
                <c:pt idx="47">
                  <c:v>4.09999990463257</c:v>
                </c:pt>
                <c:pt idx="48">
                  <c:v>4.23999977111816</c:v>
                </c:pt>
                <c:pt idx="49">
                  <c:v>4.3600001335144</c:v>
                </c:pt>
                <c:pt idx="50">
                  <c:v>4.51000022888184</c:v>
                </c:pt>
                <c:pt idx="51">
                  <c:v>4.67000007629395</c:v>
                </c:pt>
                <c:pt idx="52">
                  <c:v>4.80000019073486</c:v>
                </c:pt>
                <c:pt idx="53">
                  <c:v>4.96000003814697</c:v>
                </c:pt>
              </c:numCache>
            </c:numRef>
          </c:xVal>
          <c:yVal>
            <c:numRef>
              <c:f>Shaping!$B$21:$BC$21</c:f>
              <c:numCache>
                <c:formatCode>[$-409]General</c:formatCode>
                <c:ptCount val="54"/>
                <c:pt idx="0">
                  <c:v>1.18353116512299</c:v>
                </c:pt>
                <c:pt idx="1">
                  <c:v>1.2837837934494</c:v>
                </c:pt>
                <c:pt idx="2">
                  <c:v>1.43429636955261</c:v>
                </c:pt>
                <c:pt idx="3">
                  <c:v>1.59366250038147</c:v>
                </c:pt>
                <c:pt idx="4">
                  <c:v>1.6990213394165</c:v>
                </c:pt>
                <c:pt idx="5">
                  <c:v>1.90088522434235</c:v>
                </c:pt>
                <c:pt idx="6">
                  <c:v>2.34268403053284</c:v>
                </c:pt>
                <c:pt idx="7">
                  <c:v>2.53694009780884</c:v>
                </c:pt>
                <c:pt idx="8">
                  <c:v>2.94034647941589</c:v>
                </c:pt>
                <c:pt idx="9">
                  <c:v>3.82613492012024</c:v>
                </c:pt>
                <c:pt idx="10">
                  <c:v>4.00314044952393</c:v>
                </c:pt>
                <c:pt idx="11">
                  <c:v>4.45313119888306</c:v>
                </c:pt>
                <c:pt idx="12">
                  <c:v>5.07407999038696</c:v>
                </c:pt>
                <c:pt idx="13">
                  <c:v>5.81383800506592</c:v>
                </c:pt>
                <c:pt idx="14">
                  <c:v>6.50241231918335</c:v>
                </c:pt>
                <c:pt idx="15">
                  <c:v>7.23009967803955</c:v>
                </c:pt>
                <c:pt idx="16">
                  <c:v>7.88663291931152</c:v>
                </c:pt>
                <c:pt idx="17">
                  <c:v>9.18105697631836</c:v>
                </c:pt>
                <c:pt idx="18">
                  <c:v>9.96461582183838</c:v>
                </c:pt>
                <c:pt idx="19">
                  <c:v>11.0771064758301</c:v>
                </c:pt>
                <c:pt idx="20">
                  <c:v>12.5194597244263</c:v>
                </c:pt>
                <c:pt idx="21">
                  <c:v>14.60618019104</c:v>
                </c:pt>
                <c:pt idx="22">
                  <c:v>15.4889888763428</c:v>
                </c:pt>
                <c:pt idx="23">
                  <c:v>17.1934223175049</c:v>
                </c:pt>
                <c:pt idx="24">
                  <c:v>19.4904289245606</c:v>
                </c:pt>
                <c:pt idx="25">
                  <c:v>21.8512001037598</c:v>
                </c:pt>
                <c:pt idx="26">
                  <c:v>24.1824588775635</c:v>
                </c:pt>
                <c:pt idx="27">
                  <c:v>26.7785739898682</c:v>
                </c:pt>
                <c:pt idx="28">
                  <c:v>30.1824131011963</c:v>
                </c:pt>
                <c:pt idx="29">
                  <c:v>31.9697685241699</c:v>
                </c:pt>
                <c:pt idx="30">
                  <c:v>36.794303894043</c:v>
                </c:pt>
                <c:pt idx="31">
                  <c:v>40.9753189086914</c:v>
                </c:pt>
                <c:pt idx="32">
                  <c:v>47.0529289245606</c:v>
                </c:pt>
                <c:pt idx="33">
                  <c:v>52.8632698059082</c:v>
                </c:pt>
                <c:pt idx="34">
                  <c:v>61.7400016784668</c:v>
                </c:pt>
                <c:pt idx="35">
                  <c:v>70.6900024414063</c:v>
                </c:pt>
                <c:pt idx="36">
                  <c:v>78.5400009155273</c:v>
                </c:pt>
                <c:pt idx="37">
                  <c:v>86.8399963378906</c:v>
                </c:pt>
                <c:pt idx="38">
                  <c:v>94.7363586425781</c:v>
                </c:pt>
                <c:pt idx="39">
                  <c:v>105.176803588867</c:v>
                </c:pt>
                <c:pt idx="40">
                  <c:v>118.453674316406</c:v>
                </c:pt>
                <c:pt idx="41">
                  <c:v>140</c:v>
                </c:pt>
                <c:pt idx="42">
                  <c:v>156.059204101563</c:v>
                </c:pt>
                <c:pt idx="43">
                  <c:v>170.820449829102</c:v>
                </c:pt>
                <c:pt idx="44">
                  <c:v>187.086959838867</c:v>
                </c:pt>
                <c:pt idx="45">
                  <c:v>209.804107666016</c:v>
                </c:pt>
                <c:pt idx="46">
                  <c:v>234.766662597656</c:v>
                </c:pt>
                <c:pt idx="47">
                  <c:v>262.958618164062</c:v>
                </c:pt>
                <c:pt idx="48">
                  <c:v>288.915008544922</c:v>
                </c:pt>
                <c:pt idx="49">
                  <c:v>316.819732666016</c:v>
                </c:pt>
                <c:pt idx="50">
                  <c:v>349.429290771484</c:v>
                </c:pt>
                <c:pt idx="51">
                  <c:v>379.2666015625</c:v>
                </c:pt>
                <c:pt idx="52">
                  <c:v>404.859222412109</c:v>
                </c:pt>
                <c:pt idx="53">
                  <c:v>440.614990234375</c:v>
                </c:pt>
              </c:numCache>
            </c:numRef>
          </c:yVal>
          <c:smooth val="0"/>
        </c:ser>
        <c:axId val="52188841"/>
        <c:axId val="63621670"/>
      </c:scatterChart>
      <c:valAx>
        <c:axId val="52188841"/>
        <c:scaling>
          <c:orientation val="minMax"/>
          <c:max val="5.1"/>
          <c:min val="0.8"/>
        </c:scaling>
        <c:delete val="0"/>
        <c:axPos val="b"/>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63621670"/>
        <c:crossesAt val="0"/>
        <c:crossBetween val="midCat"/>
      </c:valAx>
      <c:valAx>
        <c:axId val="63621670"/>
        <c:scaling>
          <c:orientation val="minMax"/>
        </c:scaling>
        <c:delete val="0"/>
        <c:axPos val="l"/>
        <c:majorGridlines>
          <c:spPr>
            <a:ln w="9360">
              <a:solidFill>
                <a:srgbClr val="878787"/>
              </a:solidFill>
              <a:round/>
            </a:ln>
          </c:spPr>
        </c:majorGridlines>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52188841"/>
        <c:crossesAt val="0"/>
        <c:crossBetween val="midCat"/>
      </c:valAx>
      <c:spPr>
        <a:solidFill>
          <a:srgbClr val="FFFFFF"/>
        </a:solidFill>
        <a:ln w="0">
          <a:noFill/>
        </a:ln>
      </c:spPr>
    </c:plotArea>
    <c:legend>
      <c:legendPos val="r"/>
      <c:layout>
        <c:manualLayout>
          <c:xMode val="edge"/>
          <c:yMode val="edge"/>
          <c:x val="0.0362589048941612"/>
          <c:y val="0.0208851575456053"/>
        </c:manualLayout>
      </c:layout>
      <c:overlay val="0"/>
      <c:spPr>
        <a:noFill/>
        <a:ln w="0">
          <a:noFill/>
        </a:ln>
      </c:spPr>
      <c:txPr>
        <a:bodyPr/>
        <a:lstStyle/>
        <a:p>
          <a:pPr>
            <a:defRPr sz="1000" b="0" u="none" strike="noStrike">
              <a:solidFill>
                <a:srgbClr val="000000"/>
              </a:solidFill>
              <a:uFillTx/>
              <a:latin typeface="Calibri"/>
              <a:ea typeface="DejaVu Sans"/>
            </a:defRPr>
          </a:pPr>
        </a:p>
      </c:txPr>
    </c:legend>
    <c:plotVisOnly val="1"/>
    <c:dispBlanksAs val="gap"/>
  </c:chart>
  <c:spPr>
    <a:solidFill>
      <a:srgbClr val="FFFFFF"/>
    </a:solidFill>
    <a:ln w="9360">
      <a:solidFill>
        <a:srgbClr val="878787"/>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scatterChart>
        <c:scatterStyle val="lineMarker"/>
        <c:varyColors val="0"/>
        <c:ser>
          <c:idx val="0"/>
          <c:order val="0"/>
          <c:tx>
            <c:strRef>
              <c:f>Shaping!$A$4</c:f>
              <c:strCache>
                <c:ptCount val="1"/>
                <c:pt idx="0">
                  <c:v>MAF</c:v>
                </c:pt>
              </c:strCache>
            </c:strRef>
          </c:tx>
          <c:spPr>
            <a:solidFill>
              <a:srgbClr val="C9211E"/>
            </a:solidFill>
            <a:ln w="28440">
              <a:solidFill>
                <a:srgbClr val="C9211E"/>
              </a:solidFill>
              <a:round/>
            </a:ln>
          </c:spPr>
          <c:marker>
            <c:symbol val="diamond"/>
            <c:size val="5"/>
            <c:spPr>
              <a:solidFill>
                <a:srgbClr val="C9211E"/>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Shaping!$C$3:$BC$3</c:f>
              <c:numCache>
                <c:formatCode>0.00</c:formatCode>
                <c:ptCount val="53"/>
                <c:pt idx="0">
                  <c:v>0.939999997615814</c:v>
                </c:pt>
                <c:pt idx="1">
                  <c:v>0.987100005149841</c:v>
                </c:pt>
                <c:pt idx="2">
                  <c:v>1</c:v>
                </c:pt>
                <c:pt idx="3">
                  <c:v>1.05869996547699</c:v>
                </c:pt>
                <c:pt idx="4">
                  <c:v>1.07270002365112</c:v>
                </c:pt>
                <c:pt idx="5">
                  <c:v>1.1282000541687</c:v>
                </c:pt>
                <c:pt idx="6">
                  <c:v>1.14030003547669</c:v>
                </c:pt>
                <c:pt idx="7">
                  <c:v>1.18040001392365</c:v>
                </c:pt>
                <c:pt idx="8">
                  <c:v>1.22010004520416</c:v>
                </c:pt>
                <c:pt idx="9">
                  <c:v>1.27999997138977</c:v>
                </c:pt>
                <c:pt idx="10">
                  <c:v>1.30209994316101</c:v>
                </c:pt>
                <c:pt idx="11">
                  <c:v>1.36280000209808</c:v>
                </c:pt>
                <c:pt idx="12">
                  <c:v>1.39479994773865</c:v>
                </c:pt>
                <c:pt idx="13">
                  <c:v>1.45000004768372</c:v>
                </c:pt>
                <c:pt idx="14">
                  <c:v>1.48010003566742</c:v>
                </c:pt>
                <c:pt idx="15">
                  <c:v>1.54729998111725</c:v>
                </c:pt>
                <c:pt idx="16">
                  <c:v>1.59300005435944</c:v>
                </c:pt>
                <c:pt idx="17">
                  <c:v>1.64170002937317</c:v>
                </c:pt>
                <c:pt idx="18">
                  <c:v>1.67999994754791</c:v>
                </c:pt>
                <c:pt idx="19">
                  <c:v>1.74510002136231</c:v>
                </c:pt>
                <c:pt idx="20">
                  <c:v>1.80999994277954</c:v>
                </c:pt>
                <c:pt idx="21">
                  <c:v>1.85000002384186</c:v>
                </c:pt>
                <c:pt idx="22">
                  <c:v>1.9099999666214</c:v>
                </c:pt>
                <c:pt idx="23">
                  <c:v>1.98880004882813</c:v>
                </c:pt>
                <c:pt idx="24">
                  <c:v>2.04999995231628</c:v>
                </c:pt>
                <c:pt idx="25">
                  <c:v>2.11520004272461</c:v>
                </c:pt>
                <c:pt idx="26">
                  <c:v>2.16820001602173</c:v>
                </c:pt>
                <c:pt idx="27">
                  <c:v>2.25300002098084</c:v>
                </c:pt>
                <c:pt idx="28">
                  <c:v>2.28489995002747</c:v>
                </c:pt>
                <c:pt idx="29">
                  <c:v>2.38770008087158</c:v>
                </c:pt>
                <c:pt idx="30">
                  <c:v>2.44899988174439</c:v>
                </c:pt>
                <c:pt idx="31">
                  <c:v>2.54819989204407</c:v>
                </c:pt>
                <c:pt idx="32">
                  <c:v>2.61999988555908</c:v>
                </c:pt>
                <c:pt idx="33">
                  <c:v>2.73270010948181</c:v>
                </c:pt>
                <c:pt idx="34">
                  <c:v>2.82739996910095</c:v>
                </c:pt>
                <c:pt idx="35">
                  <c:v>2.91249990463257</c:v>
                </c:pt>
                <c:pt idx="36">
                  <c:v>2.99000000953674</c:v>
                </c:pt>
                <c:pt idx="37">
                  <c:v>3.06539988517761</c:v>
                </c:pt>
                <c:pt idx="38">
                  <c:v>3.15079998970032</c:v>
                </c:pt>
                <c:pt idx="39">
                  <c:v>3.25999999046326</c:v>
                </c:pt>
                <c:pt idx="40">
                  <c:v>3.40799999237061</c:v>
                </c:pt>
                <c:pt idx="41">
                  <c:v>3.51999998092651</c:v>
                </c:pt>
                <c:pt idx="42">
                  <c:v>3.6136999130249</c:v>
                </c:pt>
                <c:pt idx="43">
                  <c:v>3.70980000495911</c:v>
                </c:pt>
                <c:pt idx="44">
                  <c:v>3.83999991416931</c:v>
                </c:pt>
                <c:pt idx="45">
                  <c:v>3.96770000457764</c:v>
                </c:pt>
                <c:pt idx="46">
                  <c:v>4.1100001335144</c:v>
                </c:pt>
                <c:pt idx="47">
                  <c:v>4.23379993438721</c:v>
                </c:pt>
                <c:pt idx="48">
                  <c:v>4.36899995803833</c:v>
                </c:pt>
                <c:pt idx="49">
                  <c:v>4.51999998092651</c:v>
                </c:pt>
                <c:pt idx="50">
                  <c:v>4.66709995269775</c:v>
                </c:pt>
                <c:pt idx="51">
                  <c:v>4.78999996185303</c:v>
                </c:pt>
                <c:pt idx="52">
                  <c:v>4.96339988708496</c:v>
                </c:pt>
              </c:numCache>
            </c:numRef>
          </c:xVal>
          <c:yVal>
            <c:numRef>
              <c:f>Shaping!$C$5:$BC$5</c:f>
              <c:numCache>
                <c:formatCode>[$-409]General</c:formatCode>
                <c:ptCount val="53"/>
                <c:pt idx="0">
                  <c:v>12.1904251007319</c:v>
                </c:pt>
                <c:pt idx="1">
                  <c:v>3.47732935800366</c:v>
                </c:pt>
                <c:pt idx="2">
                  <c:v>13.4471551477179</c:v>
                </c:pt>
                <c:pt idx="3">
                  <c:v>1.95218628340959</c:v>
                </c:pt>
                <c:pt idx="4">
                  <c:v>15.6941357788169</c:v>
                </c:pt>
                <c:pt idx="5">
                  <c:v>8.6629106811465</c:v>
                </c:pt>
                <c:pt idx="6">
                  <c:v>17.4660794861175</c:v>
                </c:pt>
                <c:pt idx="7">
                  <c:v>10.9476935516957</c:v>
                </c:pt>
                <c:pt idx="8">
                  <c:v>17.555683005633</c:v>
                </c:pt>
                <c:pt idx="9">
                  <c:v>9.13525992234471</c:v>
                </c:pt>
                <c:pt idx="10">
                  <c:v>5.31251213670789</c:v>
                </c:pt>
                <c:pt idx="11">
                  <c:v>17.5220281663589</c:v>
                </c:pt>
                <c:pt idx="12">
                  <c:v>18.7629929033099</c:v>
                </c:pt>
                <c:pt idx="13">
                  <c:v>3.81824935428414</c:v>
                </c:pt>
                <c:pt idx="14">
                  <c:v>37.9642213570863</c:v>
                </c:pt>
                <c:pt idx="15">
                  <c:v>3.40606761584771</c:v>
                </c:pt>
                <c:pt idx="16">
                  <c:v>36.0783597662775</c:v>
                </c:pt>
                <c:pt idx="17">
                  <c:v>10.4325953124044</c:v>
                </c:pt>
                <c:pt idx="18">
                  <c:v>29.0470644260663</c:v>
                </c:pt>
                <c:pt idx="19">
                  <c:v>22.1566565769212</c:v>
                </c:pt>
                <c:pt idx="20">
                  <c:v>38.3461592153118</c:v>
                </c:pt>
                <c:pt idx="21">
                  <c:v>16.225901145897</c:v>
                </c:pt>
                <c:pt idx="22">
                  <c:v>31.5320951449984</c:v>
                </c:pt>
                <c:pt idx="23">
                  <c:v>32.7715798088719</c:v>
                </c:pt>
                <c:pt idx="24">
                  <c:v>31.6336762878325</c:v>
                </c:pt>
                <c:pt idx="25">
                  <c:v>33.935049310891</c:v>
                </c:pt>
                <c:pt idx="26">
                  <c:v>59.758954196618</c:v>
                </c:pt>
                <c:pt idx="27">
                  <c:v>40.8890313402331</c:v>
                </c:pt>
                <c:pt idx="28">
                  <c:v>88.2997354220539</c:v>
                </c:pt>
                <c:pt idx="29">
                  <c:v>37.3737067316056</c:v>
                </c:pt>
                <c:pt idx="30">
                  <c:v>75.7728909805136</c:v>
                </c:pt>
                <c:pt idx="31">
                  <c:v>51.9615934627175</c:v>
                </c:pt>
                <c:pt idx="32">
                  <c:v>43.9157764709396</c:v>
                </c:pt>
                <c:pt idx="33">
                  <c:v>71.0991476605617</c:v>
                </c:pt>
                <c:pt idx="34">
                  <c:v>91.1475931520649</c:v>
                </c:pt>
                <c:pt idx="35">
                  <c:v>66.0264978217326</c:v>
                </c:pt>
                <c:pt idx="36">
                  <c:v>157.416247511989</c:v>
                </c:pt>
                <c:pt idx="37">
                  <c:v>68.2059889328067</c:v>
                </c:pt>
                <c:pt idx="38">
                  <c:v>122.799778890769</c:v>
                </c:pt>
                <c:pt idx="39">
                  <c:v>124.880471946517</c:v>
                </c:pt>
                <c:pt idx="40">
                  <c:v>163.939963625058</c:v>
                </c:pt>
                <c:pt idx="41">
                  <c:v>237.346945900263</c:v>
                </c:pt>
                <c:pt idx="42">
                  <c:v>77.9060268799981</c:v>
                </c:pt>
                <c:pt idx="43">
                  <c:v>57.1992864816048</c:v>
                </c:pt>
                <c:pt idx="44">
                  <c:v>196.707609256945</c:v>
                </c:pt>
                <c:pt idx="45">
                  <c:v>225.279431231132</c:v>
                </c:pt>
                <c:pt idx="46">
                  <c:v>215.603598894195</c:v>
                </c:pt>
                <c:pt idx="47">
                  <c:v>233.001837251133</c:v>
                </c:pt>
                <c:pt idx="48">
                  <c:v>232.12722238877</c:v>
                </c:pt>
                <c:pt idx="49">
                  <c:v>220.298278965485</c:v>
                </c:pt>
                <c:pt idx="50">
                  <c:v>155.090320301078</c:v>
                </c:pt>
                <c:pt idx="51">
                  <c:v>208.239124699309</c:v>
                </c:pt>
                <c:pt idx="52">
                  <c:v>206.204231587863</c:v>
                </c:pt>
              </c:numCache>
            </c:numRef>
          </c:yVal>
          <c:smooth val="0"/>
        </c:ser>
        <c:ser>
          <c:idx val="1"/>
          <c:order val="1"/>
          <c:tx>
            <c:strRef>
              <c:f>Shaping!$A$20</c:f>
              <c:strCache>
                <c:ptCount val="1"/>
                <c:pt idx="0">
                  <c:v>reference</c:v>
                </c:pt>
              </c:strCache>
            </c:strRef>
          </c:tx>
          <c:spPr>
            <a:solidFill>
              <a:srgbClr val="0F9ED5"/>
            </a:solidFill>
            <a:ln w="38160">
              <a:solidFill>
                <a:srgbClr val="0F9ED5"/>
              </a:solidFill>
              <a:round/>
            </a:ln>
          </c:spPr>
          <c:marker>
            <c:symbol val="square"/>
            <c:size val="5"/>
            <c:spPr>
              <a:solidFill>
                <a:srgbClr val="0F9ED5"/>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Shaping!$C$20:$BC$20</c:f>
              <c:numCache>
                <c:formatCode>[$-409]General</c:formatCode>
                <c:ptCount val="53"/>
                <c:pt idx="0">
                  <c:v>0.949999988079071</c:v>
                </c:pt>
                <c:pt idx="1">
                  <c:v>0.980000019073486</c:v>
                </c:pt>
                <c:pt idx="2">
                  <c:v>1.00999999046326</c:v>
                </c:pt>
                <c:pt idx="3">
                  <c:v>1.04999995231628</c:v>
                </c:pt>
                <c:pt idx="4">
                  <c:v>1.08000004291534</c:v>
                </c:pt>
                <c:pt idx="5">
                  <c:v>1.12000000476837</c:v>
                </c:pt>
                <c:pt idx="6">
                  <c:v>1.14999997615814</c:v>
                </c:pt>
                <c:pt idx="7">
                  <c:v>1.19000005722046</c:v>
                </c:pt>
                <c:pt idx="8">
                  <c:v>1.23000001907349</c:v>
                </c:pt>
                <c:pt idx="9">
                  <c:v>1.26999998092651</c:v>
                </c:pt>
                <c:pt idx="10">
                  <c:v>1.30999994277954</c:v>
                </c:pt>
                <c:pt idx="11">
                  <c:v>1.36000001430512</c:v>
                </c:pt>
                <c:pt idx="12">
                  <c:v>1.39999997615814</c:v>
                </c:pt>
                <c:pt idx="13">
                  <c:v>1.44000005722046</c:v>
                </c:pt>
                <c:pt idx="14">
                  <c:v>1.49000000953674</c:v>
                </c:pt>
                <c:pt idx="15">
                  <c:v>1.53999996185303</c:v>
                </c:pt>
                <c:pt idx="16">
                  <c:v>1.5900000333786</c:v>
                </c:pt>
                <c:pt idx="17">
                  <c:v>1.63999998569489</c:v>
                </c:pt>
                <c:pt idx="18">
                  <c:v>1.69000005722046</c:v>
                </c:pt>
                <c:pt idx="19">
                  <c:v>1.75</c:v>
                </c:pt>
                <c:pt idx="20">
                  <c:v>1.79999995231628</c:v>
                </c:pt>
                <c:pt idx="21">
                  <c:v>1.86000001430512</c:v>
                </c:pt>
                <c:pt idx="22">
                  <c:v>1.91999995708466</c:v>
                </c:pt>
                <c:pt idx="23">
                  <c:v>1.98000001907349</c:v>
                </c:pt>
                <c:pt idx="24">
                  <c:v>2.03999996185303</c:v>
                </c:pt>
                <c:pt idx="25">
                  <c:v>2.10999989509583</c:v>
                </c:pt>
                <c:pt idx="26">
                  <c:v>2.17000007629394</c:v>
                </c:pt>
                <c:pt idx="27">
                  <c:v>2.24000000953674</c:v>
                </c:pt>
                <c:pt idx="28">
                  <c:v>2.3199999332428</c:v>
                </c:pt>
                <c:pt idx="29">
                  <c:v>2.39000010490417</c:v>
                </c:pt>
                <c:pt idx="30">
                  <c:v>2.47000002861023</c:v>
                </c:pt>
                <c:pt idx="31">
                  <c:v>2.54999995231628</c:v>
                </c:pt>
                <c:pt idx="32">
                  <c:v>2.63000011444092</c:v>
                </c:pt>
                <c:pt idx="33">
                  <c:v>2.73710012435913</c:v>
                </c:pt>
                <c:pt idx="34">
                  <c:v>2.8199999332428</c:v>
                </c:pt>
                <c:pt idx="35">
                  <c:v>2.91000008583069</c:v>
                </c:pt>
                <c:pt idx="36">
                  <c:v>2.98000001907349</c:v>
                </c:pt>
                <c:pt idx="37">
                  <c:v>3.0699999332428</c:v>
                </c:pt>
                <c:pt idx="38">
                  <c:v>3.16000008583069</c:v>
                </c:pt>
                <c:pt idx="39">
                  <c:v>3.26999998092651</c:v>
                </c:pt>
                <c:pt idx="40">
                  <c:v>3.40000009536743</c:v>
                </c:pt>
                <c:pt idx="41">
                  <c:v>3.50999999046326</c:v>
                </c:pt>
                <c:pt idx="42">
                  <c:v>3.60999989509583</c:v>
                </c:pt>
                <c:pt idx="43">
                  <c:v>3.71000003814697</c:v>
                </c:pt>
                <c:pt idx="44">
                  <c:v>3.84999990463257</c:v>
                </c:pt>
                <c:pt idx="45">
                  <c:v>3.97499990463257</c:v>
                </c:pt>
                <c:pt idx="46">
                  <c:v>4.09999990463257</c:v>
                </c:pt>
                <c:pt idx="47">
                  <c:v>4.23999977111816</c:v>
                </c:pt>
                <c:pt idx="48">
                  <c:v>4.3600001335144</c:v>
                </c:pt>
                <c:pt idx="49">
                  <c:v>4.51000022888184</c:v>
                </c:pt>
                <c:pt idx="50">
                  <c:v>4.67000007629395</c:v>
                </c:pt>
                <c:pt idx="51">
                  <c:v>4.80000019073486</c:v>
                </c:pt>
                <c:pt idx="52">
                  <c:v>4.96000003814697</c:v>
                </c:pt>
              </c:numCache>
            </c:numRef>
          </c:xVal>
          <c:yVal>
            <c:numRef>
              <c:f>Shaping!$C$22:$BC$22</c:f>
              <c:numCache>
                <c:formatCode>[$-409]General</c:formatCode>
                <c:ptCount val="53"/>
                <c:pt idx="0">
                  <c:v>3.3417574644952</c:v>
                </c:pt>
                <c:pt idx="1">
                  <c:v>5.01708068672431</c:v>
                </c:pt>
                <c:pt idx="2">
                  <c:v>5.31220942707908</c:v>
                </c:pt>
                <c:pt idx="3">
                  <c:v>2.6339734878291</c:v>
                </c:pt>
                <c:pt idx="4">
                  <c:v>6.72877584350278</c:v>
                </c:pt>
                <c:pt idx="5">
                  <c:v>11.0449806880759</c:v>
                </c:pt>
                <c:pt idx="6">
                  <c:v>6.47520841777339</c:v>
                </c:pt>
                <c:pt idx="7">
                  <c:v>10.0851391020569</c:v>
                </c:pt>
                <c:pt idx="8">
                  <c:v>22.1447321364696</c:v>
                </c:pt>
                <c:pt idx="9">
                  <c:v>4.42514245523779</c:v>
                </c:pt>
                <c:pt idx="10">
                  <c:v>11.2497794626032</c:v>
                </c:pt>
                <c:pt idx="11">
                  <c:v>12.4189580646144</c:v>
                </c:pt>
                <c:pt idx="12">
                  <c:v>18.4939680041997</c:v>
                </c:pt>
                <c:pt idx="13">
                  <c:v>17.2143229671118</c:v>
                </c:pt>
                <c:pt idx="14">
                  <c:v>14.5537610566734</c:v>
                </c:pt>
                <c:pt idx="15">
                  <c:v>13.1306773478276</c:v>
                </c:pt>
                <c:pt idx="16">
                  <c:v>25.8884441064224</c:v>
                </c:pt>
                <c:pt idx="17">
                  <c:v>15.6711918556118</c:v>
                </c:pt>
                <c:pt idx="18">
                  <c:v>22.2497812512686</c:v>
                </c:pt>
                <c:pt idx="19">
                  <c:v>24.0392437355465</c:v>
                </c:pt>
                <c:pt idx="20">
                  <c:v>41.7344491333498</c:v>
                </c:pt>
                <c:pt idx="21">
                  <c:v>14.713462887205</c:v>
                </c:pt>
                <c:pt idx="22">
                  <c:v>28.4072511106347</c:v>
                </c:pt>
                <c:pt idx="23">
                  <c:v>38.283403898538</c:v>
                </c:pt>
                <c:pt idx="24">
                  <c:v>39.3462238434705</c:v>
                </c:pt>
                <c:pt idx="25">
                  <c:v>33.3037285295338</c:v>
                </c:pt>
                <c:pt idx="26">
                  <c:v>43.2684545357086</c:v>
                </c:pt>
                <c:pt idx="27">
                  <c:v>48.6263193926432</c:v>
                </c:pt>
                <c:pt idx="28">
                  <c:v>22.3419640941259</c:v>
                </c:pt>
                <c:pt idx="29">
                  <c:v>68.9217648381219</c:v>
                </c:pt>
                <c:pt idx="30">
                  <c:v>52.262737524732</c:v>
                </c:pt>
                <c:pt idx="31">
                  <c:v>75.9701976491955</c:v>
                </c:pt>
                <c:pt idx="32">
                  <c:v>72.6291138297334</c:v>
                </c:pt>
                <c:pt idx="33">
                  <c:v>82.8826428619155</c:v>
                </c:pt>
                <c:pt idx="34">
                  <c:v>107.96165737244</c:v>
                </c:pt>
                <c:pt idx="35">
                  <c:v>87.2220573899035</c:v>
                </c:pt>
                <c:pt idx="36">
                  <c:v>118.571476255186</c:v>
                </c:pt>
                <c:pt idx="37">
                  <c:v>87.7374426139191</c:v>
                </c:pt>
                <c:pt idx="38">
                  <c:v>116.00474717077</c:v>
                </c:pt>
                <c:pt idx="39">
                  <c:v>120.698939903293</c:v>
                </c:pt>
                <c:pt idx="40">
                  <c:v>165.740820892785</c:v>
                </c:pt>
                <c:pt idx="41">
                  <c:v>145.99290378934</c:v>
                </c:pt>
                <c:pt idx="42">
                  <c:v>147.612598049731</c:v>
                </c:pt>
                <c:pt idx="43">
                  <c:v>162.664867403703</c:v>
                </c:pt>
                <c:pt idx="44">
                  <c:v>162.265496370924</c:v>
                </c:pt>
                <c:pt idx="45">
                  <c:v>199.70043945312</c:v>
                </c:pt>
                <c:pt idx="46">
                  <c:v>225.535644531248</c:v>
                </c:pt>
                <c:pt idx="47">
                  <c:v>185.402965248769</c:v>
                </c:pt>
                <c:pt idx="48">
                  <c:v>232.5386654163</c:v>
                </c:pt>
                <c:pt idx="49">
                  <c:v>217.396915819203</c:v>
                </c:pt>
                <c:pt idx="50">
                  <c:v>186.483370288251</c:v>
                </c:pt>
                <c:pt idx="51">
                  <c:v>196.866140923605</c:v>
                </c:pt>
                <c:pt idx="52">
                  <c:v>223.473762010349</c:v>
                </c:pt>
              </c:numCache>
            </c:numRef>
          </c:yVal>
          <c:smooth val="0"/>
        </c:ser>
        <c:axId val="3808524"/>
        <c:axId val="69222230"/>
      </c:scatterChart>
      <c:valAx>
        <c:axId val="3808524"/>
        <c:scaling>
          <c:orientation val="minMax"/>
          <c:max val="5"/>
          <c:min val="0.5"/>
        </c:scaling>
        <c:delete val="0"/>
        <c:axPos val="b"/>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69222230"/>
        <c:crossesAt val="0"/>
        <c:crossBetween val="midCat"/>
      </c:valAx>
      <c:valAx>
        <c:axId val="69222230"/>
        <c:scaling>
          <c:orientation val="minMax"/>
        </c:scaling>
        <c:delete val="0"/>
        <c:axPos val="l"/>
        <c:majorGridlines>
          <c:spPr>
            <a:ln w="9360">
              <a:solidFill>
                <a:srgbClr val="878787"/>
              </a:solidFill>
              <a:round/>
            </a:ln>
          </c:spPr>
        </c:majorGridlines>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3808524"/>
        <c:crossesAt val="0"/>
        <c:crossBetween val="midCat"/>
      </c:valAx>
      <c:spPr>
        <a:solidFill>
          <a:srgbClr val="FFFFFF"/>
        </a:solidFill>
        <a:ln w="0">
          <a:noFill/>
        </a:ln>
      </c:spPr>
    </c:plotArea>
    <c:legend>
      <c:legendPos val="r"/>
      <c:layout>
        <c:manualLayout>
          <c:xMode val="edge"/>
          <c:yMode val="edge"/>
          <c:x val="0.0500822518735149"/>
          <c:y val="0.0361837018710376"/>
        </c:manualLayout>
      </c:layout>
      <c:overlay val="0"/>
      <c:spPr>
        <a:noFill/>
        <a:ln w="0">
          <a:noFill/>
        </a:ln>
      </c:spPr>
      <c:txPr>
        <a:bodyPr/>
        <a:lstStyle/>
        <a:p>
          <a:pPr>
            <a:defRPr sz="1000" b="0" u="none" strike="noStrike">
              <a:solidFill>
                <a:srgbClr val="000000"/>
              </a:solidFill>
              <a:uFillTx/>
              <a:latin typeface="Calibri"/>
              <a:ea typeface="DejaVu Sans"/>
            </a:defRPr>
          </a:pPr>
        </a:p>
      </c:txPr>
    </c:legend>
    <c:plotVisOnly val="1"/>
    <c:dispBlanksAs val="gap"/>
  </c:chart>
  <c:spPr>
    <a:solidFill>
      <a:srgbClr val="FFFFFF"/>
    </a:solidFill>
    <a:ln w="9360">
      <a:solidFill>
        <a:srgbClr val="878787"/>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xMode val="edge"/>
          <c:yMode val="edge"/>
          <c:x val="0.00668135095447871"/>
          <c:y val="0.00703491401771756"/>
          <c:w val="0.989831130690162"/>
          <c:h val="0.985513288170922"/>
        </c:manualLayout>
      </c:layout>
      <c:scatterChart>
        <c:scatterStyle val="lineMarker"/>
        <c:varyColors val="0"/>
        <c:ser>
          <c:idx val="0"/>
          <c:order val="0"/>
          <c:tx>
            <c:strRef>
              <c:f>Shaping!$A$6</c:f>
              <c:strCache>
                <c:ptCount val="1"/>
                <c:pt idx="0">
                  <c:v>d2M/dV2</c:v>
                </c:pt>
              </c:strCache>
            </c:strRef>
          </c:tx>
          <c:spPr>
            <a:solidFill>
              <a:srgbClr val="4A7EBB"/>
            </a:solidFill>
            <a:ln w="28440">
              <a:solidFill>
                <a:srgbClr val="4A7EBB"/>
              </a:solidFill>
              <a:round/>
            </a:ln>
          </c:spPr>
          <c:marker>
            <c:symbol val="diamond"/>
            <c:size val="5"/>
            <c:spPr>
              <a:solidFill>
                <a:srgbClr val="4A7EBB"/>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Shaping!$C$3:$BC$3</c:f>
              <c:numCache>
                <c:formatCode>0.00</c:formatCode>
                <c:ptCount val="53"/>
                <c:pt idx="0">
                  <c:v>0.939999997615814</c:v>
                </c:pt>
                <c:pt idx="1">
                  <c:v>0.987100005149841</c:v>
                </c:pt>
                <c:pt idx="2">
                  <c:v>1</c:v>
                </c:pt>
                <c:pt idx="3">
                  <c:v>1.05869996547699</c:v>
                </c:pt>
                <c:pt idx="4">
                  <c:v>1.07270002365112</c:v>
                </c:pt>
                <c:pt idx="5">
                  <c:v>1.1282000541687</c:v>
                </c:pt>
                <c:pt idx="6">
                  <c:v>1.14030003547669</c:v>
                </c:pt>
                <c:pt idx="7">
                  <c:v>1.18040001392365</c:v>
                </c:pt>
                <c:pt idx="8">
                  <c:v>1.22010004520416</c:v>
                </c:pt>
                <c:pt idx="9">
                  <c:v>1.27999997138977</c:v>
                </c:pt>
                <c:pt idx="10">
                  <c:v>1.30209994316101</c:v>
                </c:pt>
                <c:pt idx="11">
                  <c:v>1.36280000209808</c:v>
                </c:pt>
                <c:pt idx="12">
                  <c:v>1.39479994773865</c:v>
                </c:pt>
                <c:pt idx="13">
                  <c:v>1.45000004768372</c:v>
                </c:pt>
                <c:pt idx="14">
                  <c:v>1.48010003566742</c:v>
                </c:pt>
                <c:pt idx="15">
                  <c:v>1.54729998111725</c:v>
                </c:pt>
                <c:pt idx="16">
                  <c:v>1.59300005435944</c:v>
                </c:pt>
                <c:pt idx="17">
                  <c:v>1.64170002937317</c:v>
                </c:pt>
                <c:pt idx="18">
                  <c:v>1.67999994754791</c:v>
                </c:pt>
                <c:pt idx="19">
                  <c:v>1.74510002136231</c:v>
                </c:pt>
                <c:pt idx="20">
                  <c:v>1.80999994277954</c:v>
                </c:pt>
                <c:pt idx="21">
                  <c:v>1.85000002384186</c:v>
                </c:pt>
                <c:pt idx="22">
                  <c:v>1.9099999666214</c:v>
                </c:pt>
                <c:pt idx="23">
                  <c:v>1.98880004882813</c:v>
                </c:pt>
                <c:pt idx="24">
                  <c:v>2.04999995231628</c:v>
                </c:pt>
                <c:pt idx="25">
                  <c:v>2.11520004272461</c:v>
                </c:pt>
                <c:pt idx="26">
                  <c:v>2.16820001602173</c:v>
                </c:pt>
                <c:pt idx="27">
                  <c:v>2.25300002098084</c:v>
                </c:pt>
                <c:pt idx="28">
                  <c:v>2.28489995002747</c:v>
                </c:pt>
                <c:pt idx="29">
                  <c:v>2.38770008087158</c:v>
                </c:pt>
                <c:pt idx="30">
                  <c:v>2.44899988174439</c:v>
                </c:pt>
                <c:pt idx="31">
                  <c:v>2.54819989204407</c:v>
                </c:pt>
                <c:pt idx="32">
                  <c:v>2.61999988555908</c:v>
                </c:pt>
                <c:pt idx="33">
                  <c:v>2.73270010948181</c:v>
                </c:pt>
                <c:pt idx="34">
                  <c:v>2.82739996910095</c:v>
                </c:pt>
                <c:pt idx="35">
                  <c:v>2.91249990463257</c:v>
                </c:pt>
                <c:pt idx="36">
                  <c:v>2.99000000953674</c:v>
                </c:pt>
                <c:pt idx="37">
                  <c:v>3.06539988517761</c:v>
                </c:pt>
                <c:pt idx="38">
                  <c:v>3.15079998970032</c:v>
                </c:pt>
                <c:pt idx="39">
                  <c:v>3.25999999046326</c:v>
                </c:pt>
                <c:pt idx="40">
                  <c:v>3.40799999237061</c:v>
                </c:pt>
                <c:pt idx="41">
                  <c:v>3.51999998092651</c:v>
                </c:pt>
                <c:pt idx="42">
                  <c:v>3.6136999130249</c:v>
                </c:pt>
                <c:pt idx="43">
                  <c:v>3.70980000495911</c:v>
                </c:pt>
                <c:pt idx="44">
                  <c:v>3.83999991416931</c:v>
                </c:pt>
                <c:pt idx="45">
                  <c:v>3.96770000457764</c:v>
                </c:pt>
                <c:pt idx="46">
                  <c:v>4.1100001335144</c:v>
                </c:pt>
                <c:pt idx="47">
                  <c:v>4.23379993438721</c:v>
                </c:pt>
                <c:pt idx="48">
                  <c:v>4.36899995803833</c:v>
                </c:pt>
                <c:pt idx="49">
                  <c:v>4.51999998092651</c:v>
                </c:pt>
                <c:pt idx="50">
                  <c:v>4.66709995269775</c:v>
                </c:pt>
                <c:pt idx="51">
                  <c:v>4.78999996185303</c:v>
                </c:pt>
                <c:pt idx="52">
                  <c:v>4.96339988708496</c:v>
                </c:pt>
              </c:numCache>
            </c:numRef>
          </c:xVal>
          <c:yVal>
            <c:numRef>
              <c:f>Shaping!$E$6:$BC$6</c:f>
              <c:numCache>
                <c:formatCode>[$-409]General</c:formatCode>
                <c:ptCount val="51"/>
                <c:pt idx="0">
                  <c:v>13.5</c:v>
                </c:pt>
                <c:pt idx="1">
                  <c:v>-195.825819843357</c:v>
                </c:pt>
                <c:pt idx="2">
                  <c:v>981.563742413395</c:v>
                </c:pt>
                <c:pt idx="3">
                  <c:v>-126.688670836739</c:v>
                </c:pt>
                <c:pt idx="4">
                  <c:v>727.535735874427</c:v>
                </c:pt>
                <c:pt idx="5">
                  <c:v>-162.553352567101</c:v>
                </c:pt>
                <c:pt idx="6">
                  <c:v>166.447965928431</c:v>
                </c:pt>
                <c:pt idx="7">
                  <c:v>-140.574849077384</c:v>
                </c:pt>
                <c:pt idx="8">
                  <c:v>-172.975233869375</c:v>
                </c:pt>
                <c:pt idx="9">
                  <c:v>201.145044065091</c:v>
                </c:pt>
                <c:pt idx="10">
                  <c:v>38.7802139069259</c:v>
                </c:pt>
                <c:pt idx="11">
                  <c:v>-270.737617574926</c:v>
                </c:pt>
                <c:pt idx="12">
                  <c:v>1134.41812738563</c:v>
                </c:pt>
                <c:pt idx="13">
                  <c:v>-514.25865765083</c:v>
                </c:pt>
                <c:pt idx="14">
                  <c:v>714.928660557792</c:v>
                </c:pt>
                <c:pt idx="15">
                  <c:v>-526.607343158621</c:v>
                </c:pt>
                <c:pt idx="16">
                  <c:v>486.018508674955</c:v>
                </c:pt>
                <c:pt idx="17">
                  <c:v>-105.843318531258</c:v>
                </c:pt>
                <c:pt idx="18">
                  <c:v>249.453347320864</c:v>
                </c:pt>
                <c:pt idx="19">
                  <c:v>-553.005331038035</c:v>
                </c:pt>
                <c:pt idx="20">
                  <c:v>255.103476603991</c:v>
                </c:pt>
                <c:pt idx="21">
                  <c:v>15.7294844010669</c:v>
                </c:pt>
                <c:pt idx="22">
                  <c:v>-18.5932241095701</c:v>
                </c:pt>
                <c:pt idx="23">
                  <c:v>35.2970833114771</c:v>
                </c:pt>
                <c:pt idx="24">
                  <c:v>487.243733896942</c:v>
                </c:pt>
                <c:pt idx="25">
                  <c:v>-222.522662180087</c:v>
                </c:pt>
                <c:pt idx="26">
                  <c:v>1486.2322738247</c:v>
                </c:pt>
                <c:pt idx="27">
                  <c:v>-495.388753616193</c:v>
                </c:pt>
                <c:pt idx="28">
                  <c:v>626.416133530126</c:v>
                </c:pt>
                <c:pt idx="29">
                  <c:v>-240.033216184783</c:v>
                </c:pt>
                <c:pt idx="30">
                  <c:v>-112.058742597175</c:v>
                </c:pt>
                <c:pt idx="31">
                  <c:v>241.20068482082</c:v>
                </c:pt>
                <c:pt idx="32">
                  <c:v>211.705123662624</c:v>
                </c:pt>
                <c:pt idx="33">
                  <c:v>-295.195233385335</c:v>
                </c:pt>
                <c:pt idx="34">
                  <c:v>1179.22098045229</c:v>
                </c:pt>
                <c:pt idx="35">
                  <c:v>-1183.16187952475</c:v>
                </c:pt>
                <c:pt idx="36">
                  <c:v>639.2707627594</c:v>
                </c:pt>
                <c:pt idx="37">
                  <c:v>19.0539655788528</c:v>
                </c:pt>
                <c:pt idx="38">
                  <c:v>263.915480913263</c:v>
                </c:pt>
                <c:pt idx="39">
                  <c:v>655.419551570406</c:v>
                </c:pt>
                <c:pt idx="40">
                  <c:v>-1701.6118950102</c:v>
                </c:pt>
                <c:pt idx="41">
                  <c:v>-215.470557640781</c:v>
                </c:pt>
                <c:pt idx="42">
                  <c:v>1071.49324159747</c:v>
                </c:pt>
                <c:pt idx="43">
                  <c:v>223.741595505746</c:v>
                </c:pt>
                <c:pt idx="44">
                  <c:v>-67.9959491901533</c:v>
                </c:pt>
                <c:pt idx="45">
                  <c:v>140.535269316096</c:v>
                </c:pt>
                <c:pt idx="46">
                  <c:v>-6.46904370830524</c:v>
                </c:pt>
                <c:pt idx="47">
                  <c:v>-78.3373617899701</c:v>
                </c:pt>
                <c:pt idx="48">
                  <c:v>-443.290082786785</c:v>
                </c:pt>
                <c:pt idx="49">
                  <c:v>432.455658575924</c:v>
                </c:pt>
                <c:pt idx="50">
                  <c:v>-11.7352594513744</c:v>
                </c:pt>
              </c:numCache>
            </c:numRef>
          </c:yVal>
          <c:smooth val="0"/>
        </c:ser>
        <c:ser>
          <c:idx val="1"/>
          <c:order val="1"/>
          <c:tx>
            <c:strRef>
              <c:f>Shaping!$A$16</c:f>
              <c:strCache>
                <c:ptCount val="1"/>
                <c:pt idx="0">
                  <c:v>d2M/sV2</c:v>
                </c:pt>
              </c:strCache>
            </c:strRef>
          </c:tx>
          <c:spPr>
            <a:solidFill>
              <a:srgbClr val="98B855"/>
            </a:solidFill>
            <a:ln w="28440">
              <a:solidFill>
                <a:srgbClr val="98B855"/>
              </a:solidFill>
              <a:round/>
            </a:ln>
          </c:spPr>
          <c:marker>
            <c:symbol val="triangle"/>
            <c:size val="5"/>
            <c:spPr>
              <a:solidFill>
                <a:srgbClr val="98B855"/>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Shaping!$C$3:$BC$3</c:f>
              <c:numCache>
                <c:formatCode>0.00</c:formatCode>
                <c:ptCount val="53"/>
                <c:pt idx="0">
                  <c:v>0.939999997615814</c:v>
                </c:pt>
                <c:pt idx="1">
                  <c:v>0.987100005149841</c:v>
                </c:pt>
                <c:pt idx="2">
                  <c:v>1</c:v>
                </c:pt>
                <c:pt idx="3">
                  <c:v>1.05869996547699</c:v>
                </c:pt>
                <c:pt idx="4">
                  <c:v>1.07270002365112</c:v>
                </c:pt>
                <c:pt idx="5">
                  <c:v>1.1282000541687</c:v>
                </c:pt>
                <c:pt idx="6">
                  <c:v>1.14030003547669</c:v>
                </c:pt>
                <c:pt idx="7">
                  <c:v>1.18040001392365</c:v>
                </c:pt>
                <c:pt idx="8">
                  <c:v>1.22010004520416</c:v>
                </c:pt>
                <c:pt idx="9">
                  <c:v>1.27999997138977</c:v>
                </c:pt>
                <c:pt idx="10">
                  <c:v>1.30209994316101</c:v>
                </c:pt>
                <c:pt idx="11">
                  <c:v>1.36280000209808</c:v>
                </c:pt>
                <c:pt idx="12">
                  <c:v>1.39479994773865</c:v>
                </c:pt>
                <c:pt idx="13">
                  <c:v>1.45000004768372</c:v>
                </c:pt>
                <c:pt idx="14">
                  <c:v>1.48010003566742</c:v>
                </c:pt>
                <c:pt idx="15">
                  <c:v>1.54729998111725</c:v>
                </c:pt>
                <c:pt idx="16">
                  <c:v>1.59300005435944</c:v>
                </c:pt>
                <c:pt idx="17">
                  <c:v>1.64170002937317</c:v>
                </c:pt>
                <c:pt idx="18">
                  <c:v>1.67999994754791</c:v>
                </c:pt>
                <c:pt idx="19">
                  <c:v>1.74510002136231</c:v>
                </c:pt>
                <c:pt idx="20">
                  <c:v>1.80999994277954</c:v>
                </c:pt>
                <c:pt idx="21">
                  <c:v>1.85000002384186</c:v>
                </c:pt>
                <c:pt idx="22">
                  <c:v>1.9099999666214</c:v>
                </c:pt>
                <c:pt idx="23">
                  <c:v>1.98880004882813</c:v>
                </c:pt>
                <c:pt idx="24">
                  <c:v>2.04999995231628</c:v>
                </c:pt>
                <c:pt idx="25">
                  <c:v>2.11520004272461</c:v>
                </c:pt>
                <c:pt idx="26">
                  <c:v>2.16820001602173</c:v>
                </c:pt>
                <c:pt idx="27">
                  <c:v>2.25300002098084</c:v>
                </c:pt>
                <c:pt idx="28">
                  <c:v>2.28489995002747</c:v>
                </c:pt>
                <c:pt idx="29">
                  <c:v>2.38770008087158</c:v>
                </c:pt>
                <c:pt idx="30">
                  <c:v>2.44899988174439</c:v>
                </c:pt>
                <c:pt idx="31">
                  <c:v>2.54819989204407</c:v>
                </c:pt>
                <c:pt idx="32">
                  <c:v>2.61999988555908</c:v>
                </c:pt>
                <c:pt idx="33">
                  <c:v>2.73270010948181</c:v>
                </c:pt>
                <c:pt idx="34">
                  <c:v>2.82739996910095</c:v>
                </c:pt>
                <c:pt idx="35">
                  <c:v>2.91249990463257</c:v>
                </c:pt>
                <c:pt idx="36">
                  <c:v>2.99000000953674</c:v>
                </c:pt>
                <c:pt idx="37">
                  <c:v>3.06539988517761</c:v>
                </c:pt>
                <c:pt idx="38">
                  <c:v>3.15079998970032</c:v>
                </c:pt>
                <c:pt idx="39">
                  <c:v>3.25999999046326</c:v>
                </c:pt>
                <c:pt idx="40">
                  <c:v>3.40799999237061</c:v>
                </c:pt>
                <c:pt idx="41">
                  <c:v>3.51999998092651</c:v>
                </c:pt>
                <c:pt idx="42">
                  <c:v>3.6136999130249</c:v>
                </c:pt>
                <c:pt idx="43">
                  <c:v>3.70980000495911</c:v>
                </c:pt>
                <c:pt idx="44">
                  <c:v>3.83999991416931</c:v>
                </c:pt>
                <c:pt idx="45">
                  <c:v>3.96770000457764</c:v>
                </c:pt>
                <c:pt idx="46">
                  <c:v>4.1100001335144</c:v>
                </c:pt>
                <c:pt idx="47">
                  <c:v>4.23379993438721</c:v>
                </c:pt>
                <c:pt idx="48">
                  <c:v>4.36899995803833</c:v>
                </c:pt>
                <c:pt idx="49">
                  <c:v>4.51999998092651</c:v>
                </c:pt>
                <c:pt idx="50">
                  <c:v>4.66709995269775</c:v>
                </c:pt>
                <c:pt idx="51">
                  <c:v>4.78999996185303</c:v>
                </c:pt>
                <c:pt idx="52">
                  <c:v>4.96339988708496</c:v>
                </c:pt>
              </c:numCache>
            </c:numRef>
          </c:xVal>
          <c:yVal>
            <c:numRef>
              <c:f>Shaping!$D$16:$BC$16</c:f>
              <c:numCache>
                <c:formatCode>[$-409]General</c:formatCode>
                <c:ptCount val="52"/>
                <c:pt idx="0">
                  <c:v>-373.748595772245</c:v>
                </c:pt>
                <c:pt idx="1">
                  <c:v>707.835490264812</c:v>
                </c:pt>
                <c:pt idx="2">
                  <c:v>-155.50266834847</c:v>
                </c:pt>
                <c:pt idx="3">
                  <c:v>975.614175154746</c:v>
                </c:pt>
                <c:pt idx="4">
                  <c:v>-222.00639015946</c:v>
                </c:pt>
                <c:pt idx="5">
                  <c:v>1669.97728153812</c:v>
                </c:pt>
                <c:pt idx="6">
                  <c:v>-424.92786570482</c:v>
                </c:pt>
                <c:pt idx="7">
                  <c:v>13.1755771892622</c:v>
                </c:pt>
                <c:pt idx="8">
                  <c:v>-49.6207564086255</c:v>
                </c:pt>
                <c:pt idx="9">
                  <c:v>529.546476467375</c:v>
                </c:pt>
                <c:pt idx="10">
                  <c:v>-141.795914646444</c:v>
                </c:pt>
                <c:pt idx="11">
                  <c:v>320.273503626991</c:v>
                </c:pt>
                <c:pt idx="12">
                  <c:v>-39.88805895703</c:v>
                </c:pt>
                <c:pt idx="13">
                  <c:v>382.753052779549</c:v>
                </c:pt>
                <c:pt idx="14">
                  <c:v>-256.262931162876</c:v>
                </c:pt>
                <c:pt idx="15">
                  <c:v>141.825956719868</c:v>
                </c:pt>
                <c:pt idx="16">
                  <c:v>58.3234622767703</c:v>
                </c:pt>
                <c:pt idx="17">
                  <c:v>202.313077612174</c:v>
                </c:pt>
                <c:pt idx="18">
                  <c:v>-115.111904965736</c:v>
                </c:pt>
                <c:pt idx="19">
                  <c:v>30.6621291958475</c:v>
                </c:pt>
                <c:pt idx="20">
                  <c:v>714.848345432787</c:v>
                </c:pt>
                <c:pt idx="21">
                  <c:v>-265.870103311937</c:v>
                </c:pt>
                <c:pt idx="22">
                  <c:v>-121.924710830105</c:v>
                </c:pt>
                <c:pt idx="23">
                  <c:v>173.78617172206</c:v>
                </c:pt>
                <c:pt idx="24">
                  <c:v>8.68065816571233</c:v>
                </c:pt>
                <c:pt idx="25">
                  <c:v>-101.753501808759</c:v>
                </c:pt>
                <c:pt idx="26">
                  <c:v>269.72947272961</c:v>
                </c:pt>
                <c:pt idx="27">
                  <c:v>1851.49669531656</c:v>
                </c:pt>
                <c:pt idx="28">
                  <c:v>-817.422413999247</c:v>
                </c:pt>
                <c:pt idx="29">
                  <c:v>698.537153627726</c:v>
                </c:pt>
                <c:pt idx="30">
                  <c:v>-265.810210390578</c:v>
                </c:pt>
                <c:pt idx="31">
                  <c:v>238.249838909115</c:v>
                </c:pt>
                <c:pt idx="32">
                  <c:v>-184.665001358645</c:v>
                </c:pt>
                <c:pt idx="33">
                  <c:v>697.105139124249</c:v>
                </c:pt>
                <c:pt idx="34">
                  <c:v>-462.36591625395</c:v>
                </c:pt>
                <c:pt idx="35">
                  <c:v>388.216965368138</c:v>
                </c:pt>
                <c:pt idx="36">
                  <c:v>288.299621097482</c:v>
                </c:pt>
                <c:pt idx="37">
                  <c:v>27.2171295208693</c:v>
                </c:pt>
                <c:pt idx="38">
                  <c:v>365.124800274792</c:v>
                </c:pt>
                <c:pt idx="39">
                  <c:v>-219.046388031399</c:v>
                </c:pt>
                <c:pt idx="40">
                  <c:v>400.058940190647</c:v>
                </c:pt>
                <c:pt idx="41">
                  <c:v>280.749899175321</c:v>
                </c:pt>
                <c:pt idx="42">
                  <c:v>509.159648284836</c:v>
                </c:pt>
                <c:pt idx="43">
                  <c:v>-1088.53606572281</c:v>
                </c:pt>
                <c:pt idx="44">
                  <c:v>106.616050989679</c:v>
                </c:pt>
                <c:pt idx="45">
                  <c:v>36.6938066232269</c:v>
                </c:pt>
                <c:pt idx="46">
                  <c:v>445.498530273251</c:v>
                </c:pt>
                <c:pt idx="47">
                  <c:v>-325.116824187827</c:v>
                </c:pt>
                <c:pt idx="48">
                  <c:v>-327.174412872067</c:v>
                </c:pt>
                <c:pt idx="49">
                  <c:v>589.405438080666</c:v>
                </c:pt>
                <c:pt idx="50">
                  <c:v>248.445035310612</c:v>
                </c:pt>
                <c:pt idx="51">
                  <c:v>-328.160136382421</c:v>
                </c:pt>
              </c:numCache>
            </c:numRef>
          </c:yVal>
          <c:smooth val="0"/>
        </c:ser>
        <c:axId val="49639469"/>
        <c:axId val="35003086"/>
      </c:scatterChart>
      <c:valAx>
        <c:axId val="49639469"/>
        <c:scaling>
          <c:orientation val="minMax"/>
          <c:max val="5"/>
        </c:scaling>
        <c:delete val="0"/>
        <c:axPos val="b"/>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35003086"/>
        <c:crossesAt val="0"/>
        <c:crossBetween val="midCat"/>
      </c:valAx>
      <c:valAx>
        <c:axId val="35003086"/>
        <c:scaling>
          <c:orientation val="minMax"/>
        </c:scaling>
        <c:delete val="0"/>
        <c:axPos val="l"/>
        <c:majorGridlines>
          <c:spPr>
            <a:ln w="9360">
              <a:solidFill>
                <a:srgbClr val="878787"/>
              </a:solidFill>
              <a:round/>
            </a:ln>
          </c:spPr>
        </c:majorGridlines>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49639469"/>
        <c:crossesAt val="0"/>
        <c:crossBetween val="midCat"/>
      </c:valAx>
      <c:spPr>
        <a:solidFill>
          <a:srgbClr val="FFFFFF"/>
        </a:solidFill>
        <a:ln w="0">
          <a:noFill/>
        </a:ln>
      </c:spPr>
    </c:plotArea>
    <c:legend>
      <c:legendPos val="r"/>
      <c:layout>
        <c:manualLayout>
          <c:xMode val="edge"/>
          <c:yMode val="edge"/>
          <c:x val="0.061875367430923"/>
          <c:y val="0.0204751484839012"/>
        </c:manualLayout>
      </c:layout>
      <c:overlay val="0"/>
      <c:spPr>
        <a:noFill/>
        <a:ln w="0">
          <a:noFill/>
        </a:ln>
      </c:spPr>
      <c:txPr>
        <a:bodyPr/>
        <a:lstStyle/>
        <a:p>
          <a:pPr>
            <a:defRPr sz="1000" b="0" u="none" strike="noStrike">
              <a:solidFill>
                <a:srgbClr val="000000"/>
              </a:solidFill>
              <a:uFillTx/>
              <a:latin typeface="Calibri"/>
              <a:ea typeface="DejaVu Sans"/>
            </a:defRPr>
          </a:pPr>
        </a:p>
      </c:txPr>
    </c:legend>
    <c:plotVisOnly val="1"/>
    <c:dispBlanksAs val="gap"/>
  </c:chart>
  <c:spPr>
    <a:solidFill>
      <a:srgbClr val="FFFFFF"/>
    </a:solidFill>
    <a:ln w="9360">
      <a:solidFill>
        <a:srgbClr val="878787"/>
      </a:solidFill>
      <a:round/>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xMode val="edge"/>
          <c:yMode val="edge"/>
          <c:x val="0.0236268724466636"/>
          <c:y val="0.00758365173092509"/>
          <c:w val="0.951452564684521"/>
          <c:h val="0.984716915595693"/>
        </c:manualLayout>
      </c:layout>
      <c:scatterChart>
        <c:scatterStyle val="lineMarker"/>
        <c:varyColors val="0"/>
        <c:ser>
          <c:idx val="0"/>
          <c:order val="0"/>
          <c:tx>
            <c:strRef>
              <c:f>Shaping!$A$4</c:f>
              <c:strCache>
                <c:ptCount val="1"/>
                <c:pt idx="0">
                  <c:v>MAF</c:v>
                </c:pt>
              </c:strCache>
            </c:strRef>
          </c:tx>
          <c:spPr>
            <a:solidFill>
              <a:srgbClr val="4A7EBB"/>
            </a:solidFill>
            <a:ln w="28440">
              <a:solidFill>
                <a:srgbClr val="4A7EBB"/>
              </a:solidFill>
              <a:round/>
            </a:ln>
          </c:spPr>
          <c:marker>
            <c:symbol val="diamond"/>
            <c:size val="5"/>
            <c:spPr>
              <a:solidFill>
                <a:srgbClr val="4A7EBB"/>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Shaping!$B$3:$W$3</c:f>
              <c:numCache>
                <c:formatCode>0.00</c:formatCode>
                <c:ptCount val="22"/>
                <c:pt idx="0">
                  <c:v>0.930000007152557</c:v>
                </c:pt>
                <c:pt idx="1">
                  <c:v>0.939999997615814</c:v>
                </c:pt>
                <c:pt idx="2">
                  <c:v>0.987100005149841</c:v>
                </c:pt>
                <c:pt idx="3">
                  <c:v>1</c:v>
                </c:pt>
                <c:pt idx="4">
                  <c:v>1.05869996547699</c:v>
                </c:pt>
                <c:pt idx="5">
                  <c:v>1.07270002365112</c:v>
                </c:pt>
                <c:pt idx="6">
                  <c:v>1.1282000541687</c:v>
                </c:pt>
                <c:pt idx="7">
                  <c:v>1.14030003547669</c:v>
                </c:pt>
                <c:pt idx="8">
                  <c:v>1.18040001392365</c:v>
                </c:pt>
                <c:pt idx="9">
                  <c:v>1.22010004520416</c:v>
                </c:pt>
                <c:pt idx="10">
                  <c:v>1.27999997138977</c:v>
                </c:pt>
                <c:pt idx="11">
                  <c:v>1.30209994316101</c:v>
                </c:pt>
                <c:pt idx="12">
                  <c:v>1.36280000209808</c:v>
                </c:pt>
                <c:pt idx="13">
                  <c:v>1.39479994773865</c:v>
                </c:pt>
                <c:pt idx="14">
                  <c:v>1.45000004768372</c:v>
                </c:pt>
                <c:pt idx="15">
                  <c:v>1.48010003566742</c:v>
                </c:pt>
                <c:pt idx="16">
                  <c:v>1.54729998111725</c:v>
                </c:pt>
                <c:pt idx="17">
                  <c:v>1.59300005435944</c:v>
                </c:pt>
                <c:pt idx="18">
                  <c:v>1.64170002937317</c:v>
                </c:pt>
                <c:pt idx="19">
                  <c:v>1.67999994754791</c:v>
                </c:pt>
                <c:pt idx="20">
                  <c:v>1.74510002136231</c:v>
                </c:pt>
                <c:pt idx="21">
                  <c:v>1.80999994277954</c:v>
                </c:pt>
              </c:numCache>
            </c:numRef>
          </c:xVal>
          <c:yVal>
            <c:numRef>
              <c:f>Shaping!$B$4:$W$4</c:f>
              <c:numCache>
                <c:formatCode>0.0000</c:formatCode>
                <c:ptCount val="22"/>
                <c:pt idx="0">
                  <c:v>1.27519905567169</c:v>
                </c:pt>
                <c:pt idx="1">
                  <c:v>1.39710319042206</c:v>
                </c:pt>
                <c:pt idx="2">
                  <c:v>1.56088542938232</c:v>
                </c:pt>
                <c:pt idx="3">
                  <c:v>1.73435366153717</c:v>
                </c:pt>
                <c:pt idx="4">
                  <c:v>1.84894692897797</c:v>
                </c:pt>
                <c:pt idx="5">
                  <c:v>2.06866574287415</c:v>
                </c:pt>
                <c:pt idx="6">
                  <c:v>2.54945755004883</c:v>
                </c:pt>
                <c:pt idx="7">
                  <c:v>2.76079678535461</c:v>
                </c:pt>
                <c:pt idx="8">
                  <c:v>3.19979906082153</c:v>
                </c:pt>
                <c:pt idx="9">
                  <c:v>3.89676022529602</c:v>
                </c:pt>
                <c:pt idx="10">
                  <c:v>4.44396162033081</c:v>
                </c:pt>
                <c:pt idx="11">
                  <c:v>4.56136798858643</c:v>
                </c:pt>
                <c:pt idx="12">
                  <c:v>5.62495613098145</c:v>
                </c:pt>
                <c:pt idx="13">
                  <c:v>6.22537088394165</c:v>
                </c:pt>
                <c:pt idx="14">
                  <c:v>6.43613862991333</c:v>
                </c:pt>
                <c:pt idx="15">
                  <c:v>7.57886123657227</c:v>
                </c:pt>
                <c:pt idx="16">
                  <c:v>7.80774879455566</c:v>
                </c:pt>
                <c:pt idx="17">
                  <c:v>9.45653247833252</c:v>
                </c:pt>
                <c:pt idx="18">
                  <c:v>9.964599609375</c:v>
                </c:pt>
                <c:pt idx="19">
                  <c:v>11.0770998001099</c:v>
                </c:pt>
                <c:pt idx="20">
                  <c:v>12.5194997787476</c:v>
                </c:pt>
                <c:pt idx="21">
                  <c:v>15.0081624984741</c:v>
                </c:pt>
              </c:numCache>
            </c:numRef>
          </c:yVal>
          <c:smooth val="0"/>
        </c:ser>
        <c:ser>
          <c:idx val="1"/>
          <c:order val="1"/>
          <c:tx>
            <c:strRef>
              <c:f>Shaping!$A$20</c:f>
              <c:strCache>
                <c:ptCount val="1"/>
                <c:pt idx="0">
                  <c:v>reference</c:v>
                </c:pt>
              </c:strCache>
            </c:strRef>
          </c:tx>
          <c:spPr>
            <a:solidFill>
              <a:srgbClr val="196B24"/>
            </a:solidFill>
            <a:ln w="38160">
              <a:solidFill>
                <a:srgbClr val="196B24"/>
              </a:solidFill>
              <a:round/>
            </a:ln>
          </c:spPr>
          <c:marker>
            <c:symbol val="square"/>
            <c:size val="5"/>
            <c:spPr>
              <a:solidFill>
                <a:srgbClr val="196B24"/>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Shaping!$B$20:$BC$20</c:f>
              <c:numCache>
                <c:formatCode>[$-409]General</c:formatCode>
                <c:ptCount val="54"/>
                <c:pt idx="0">
                  <c:v>0.9200000166893</c:v>
                </c:pt>
                <c:pt idx="1">
                  <c:v>0.949999988079071</c:v>
                </c:pt>
                <c:pt idx="2">
                  <c:v>0.980000019073486</c:v>
                </c:pt>
                <c:pt idx="3">
                  <c:v>1.00999999046326</c:v>
                </c:pt>
                <c:pt idx="4">
                  <c:v>1.04999995231628</c:v>
                </c:pt>
                <c:pt idx="5">
                  <c:v>1.08000004291534</c:v>
                </c:pt>
                <c:pt idx="6">
                  <c:v>1.12000000476837</c:v>
                </c:pt>
                <c:pt idx="7">
                  <c:v>1.14999997615814</c:v>
                </c:pt>
                <c:pt idx="8">
                  <c:v>1.19000005722046</c:v>
                </c:pt>
                <c:pt idx="9">
                  <c:v>1.23000001907349</c:v>
                </c:pt>
                <c:pt idx="10">
                  <c:v>1.26999998092651</c:v>
                </c:pt>
                <c:pt idx="11">
                  <c:v>1.30999994277954</c:v>
                </c:pt>
                <c:pt idx="12">
                  <c:v>1.36000001430512</c:v>
                </c:pt>
                <c:pt idx="13">
                  <c:v>1.39999997615814</c:v>
                </c:pt>
                <c:pt idx="14">
                  <c:v>1.44000005722046</c:v>
                </c:pt>
                <c:pt idx="15">
                  <c:v>1.49000000953674</c:v>
                </c:pt>
                <c:pt idx="16">
                  <c:v>1.53999996185303</c:v>
                </c:pt>
                <c:pt idx="17">
                  <c:v>1.5900000333786</c:v>
                </c:pt>
                <c:pt idx="18">
                  <c:v>1.63999998569489</c:v>
                </c:pt>
                <c:pt idx="19">
                  <c:v>1.69000005722046</c:v>
                </c:pt>
                <c:pt idx="20">
                  <c:v>1.75</c:v>
                </c:pt>
                <c:pt idx="21">
                  <c:v>1.79999995231628</c:v>
                </c:pt>
                <c:pt idx="22">
                  <c:v>1.86000001430512</c:v>
                </c:pt>
                <c:pt idx="23">
                  <c:v>1.91999995708466</c:v>
                </c:pt>
                <c:pt idx="24">
                  <c:v>1.98000001907349</c:v>
                </c:pt>
                <c:pt idx="25">
                  <c:v>2.03999996185303</c:v>
                </c:pt>
                <c:pt idx="26">
                  <c:v>2.10999989509583</c:v>
                </c:pt>
                <c:pt idx="27">
                  <c:v>2.17000007629394</c:v>
                </c:pt>
                <c:pt idx="28">
                  <c:v>2.24000000953674</c:v>
                </c:pt>
                <c:pt idx="29">
                  <c:v>2.3199999332428</c:v>
                </c:pt>
                <c:pt idx="30">
                  <c:v>2.39000010490417</c:v>
                </c:pt>
                <c:pt idx="31">
                  <c:v>2.47000002861023</c:v>
                </c:pt>
                <c:pt idx="32">
                  <c:v>2.54999995231628</c:v>
                </c:pt>
                <c:pt idx="33">
                  <c:v>2.63000011444092</c:v>
                </c:pt>
                <c:pt idx="34">
                  <c:v>2.73710012435913</c:v>
                </c:pt>
                <c:pt idx="35">
                  <c:v>2.8199999332428</c:v>
                </c:pt>
                <c:pt idx="36">
                  <c:v>2.91000008583069</c:v>
                </c:pt>
                <c:pt idx="37">
                  <c:v>2.98000001907349</c:v>
                </c:pt>
                <c:pt idx="38">
                  <c:v>3.0699999332428</c:v>
                </c:pt>
                <c:pt idx="39">
                  <c:v>3.16000008583069</c:v>
                </c:pt>
                <c:pt idx="40">
                  <c:v>3.26999998092651</c:v>
                </c:pt>
                <c:pt idx="41">
                  <c:v>3.40000009536743</c:v>
                </c:pt>
                <c:pt idx="42">
                  <c:v>3.50999999046326</c:v>
                </c:pt>
                <c:pt idx="43">
                  <c:v>3.60999989509583</c:v>
                </c:pt>
                <c:pt idx="44">
                  <c:v>3.71000003814697</c:v>
                </c:pt>
                <c:pt idx="45">
                  <c:v>3.84999990463257</c:v>
                </c:pt>
                <c:pt idx="46">
                  <c:v>3.97499990463257</c:v>
                </c:pt>
                <c:pt idx="47">
                  <c:v>4.09999990463257</c:v>
                </c:pt>
                <c:pt idx="48">
                  <c:v>4.23999977111816</c:v>
                </c:pt>
                <c:pt idx="49">
                  <c:v>4.3600001335144</c:v>
                </c:pt>
                <c:pt idx="50">
                  <c:v>4.51000022888184</c:v>
                </c:pt>
                <c:pt idx="51">
                  <c:v>4.67000007629395</c:v>
                </c:pt>
                <c:pt idx="52">
                  <c:v>4.80000019073486</c:v>
                </c:pt>
                <c:pt idx="53">
                  <c:v>4.96000003814697</c:v>
                </c:pt>
              </c:numCache>
            </c:numRef>
          </c:xVal>
          <c:yVal>
            <c:numRef>
              <c:f>Shaping!$B$21:$BC$21</c:f>
              <c:numCache>
                <c:formatCode>[$-409]General</c:formatCode>
                <c:ptCount val="54"/>
                <c:pt idx="0">
                  <c:v>1.18353116512299</c:v>
                </c:pt>
                <c:pt idx="1">
                  <c:v>1.2837837934494</c:v>
                </c:pt>
                <c:pt idx="2">
                  <c:v>1.43429636955261</c:v>
                </c:pt>
                <c:pt idx="3">
                  <c:v>1.59366250038147</c:v>
                </c:pt>
                <c:pt idx="4">
                  <c:v>1.6990213394165</c:v>
                </c:pt>
                <c:pt idx="5">
                  <c:v>1.90088522434235</c:v>
                </c:pt>
                <c:pt idx="6">
                  <c:v>2.34268403053284</c:v>
                </c:pt>
                <c:pt idx="7">
                  <c:v>2.53694009780884</c:v>
                </c:pt>
                <c:pt idx="8">
                  <c:v>2.94034647941589</c:v>
                </c:pt>
                <c:pt idx="9">
                  <c:v>3.82613492012024</c:v>
                </c:pt>
                <c:pt idx="10">
                  <c:v>4.00314044952393</c:v>
                </c:pt>
                <c:pt idx="11">
                  <c:v>4.45313119888306</c:v>
                </c:pt>
                <c:pt idx="12">
                  <c:v>5.07407999038696</c:v>
                </c:pt>
                <c:pt idx="13">
                  <c:v>5.81383800506592</c:v>
                </c:pt>
                <c:pt idx="14">
                  <c:v>6.50241231918335</c:v>
                </c:pt>
                <c:pt idx="15">
                  <c:v>7.23009967803955</c:v>
                </c:pt>
                <c:pt idx="16">
                  <c:v>7.88663291931152</c:v>
                </c:pt>
                <c:pt idx="17">
                  <c:v>9.18105697631836</c:v>
                </c:pt>
                <c:pt idx="18">
                  <c:v>9.96461582183838</c:v>
                </c:pt>
                <c:pt idx="19">
                  <c:v>11.0771064758301</c:v>
                </c:pt>
                <c:pt idx="20">
                  <c:v>12.5194597244263</c:v>
                </c:pt>
                <c:pt idx="21">
                  <c:v>14.60618019104</c:v>
                </c:pt>
                <c:pt idx="22">
                  <c:v>15.4889888763428</c:v>
                </c:pt>
                <c:pt idx="23">
                  <c:v>17.1934223175049</c:v>
                </c:pt>
                <c:pt idx="24">
                  <c:v>19.4904289245606</c:v>
                </c:pt>
                <c:pt idx="25">
                  <c:v>21.8512001037598</c:v>
                </c:pt>
                <c:pt idx="26">
                  <c:v>24.1824588775635</c:v>
                </c:pt>
                <c:pt idx="27">
                  <c:v>26.7785739898682</c:v>
                </c:pt>
                <c:pt idx="28">
                  <c:v>30.1824131011963</c:v>
                </c:pt>
                <c:pt idx="29">
                  <c:v>31.9697685241699</c:v>
                </c:pt>
                <c:pt idx="30">
                  <c:v>36.794303894043</c:v>
                </c:pt>
                <c:pt idx="31">
                  <c:v>40.9753189086914</c:v>
                </c:pt>
                <c:pt idx="32">
                  <c:v>47.0529289245606</c:v>
                </c:pt>
                <c:pt idx="33">
                  <c:v>52.8632698059082</c:v>
                </c:pt>
                <c:pt idx="34">
                  <c:v>61.7400016784668</c:v>
                </c:pt>
                <c:pt idx="35">
                  <c:v>70.6900024414063</c:v>
                </c:pt>
                <c:pt idx="36">
                  <c:v>78.5400009155273</c:v>
                </c:pt>
                <c:pt idx="37">
                  <c:v>86.8399963378906</c:v>
                </c:pt>
                <c:pt idx="38">
                  <c:v>94.7363586425781</c:v>
                </c:pt>
                <c:pt idx="39">
                  <c:v>105.176803588867</c:v>
                </c:pt>
                <c:pt idx="40">
                  <c:v>118.453674316406</c:v>
                </c:pt>
                <c:pt idx="41">
                  <c:v>140</c:v>
                </c:pt>
                <c:pt idx="42">
                  <c:v>156.059204101563</c:v>
                </c:pt>
                <c:pt idx="43">
                  <c:v>170.820449829102</c:v>
                </c:pt>
                <c:pt idx="44">
                  <c:v>187.086959838867</c:v>
                </c:pt>
                <c:pt idx="45">
                  <c:v>209.804107666016</c:v>
                </c:pt>
                <c:pt idx="46">
                  <c:v>234.766662597656</c:v>
                </c:pt>
                <c:pt idx="47">
                  <c:v>262.958618164062</c:v>
                </c:pt>
                <c:pt idx="48">
                  <c:v>288.915008544922</c:v>
                </c:pt>
                <c:pt idx="49">
                  <c:v>316.819732666016</c:v>
                </c:pt>
                <c:pt idx="50">
                  <c:v>349.429290771484</c:v>
                </c:pt>
                <c:pt idx="51">
                  <c:v>379.2666015625</c:v>
                </c:pt>
                <c:pt idx="52">
                  <c:v>404.859222412109</c:v>
                </c:pt>
                <c:pt idx="53">
                  <c:v>440.614990234375</c:v>
                </c:pt>
              </c:numCache>
            </c:numRef>
          </c:yVal>
          <c:smooth val="0"/>
        </c:ser>
        <c:axId val="62428781"/>
        <c:axId val="49290158"/>
      </c:scatterChart>
      <c:valAx>
        <c:axId val="62428781"/>
        <c:scaling>
          <c:orientation val="minMax"/>
          <c:max val="1.8"/>
          <c:min val="0.92"/>
        </c:scaling>
        <c:delete val="0"/>
        <c:axPos val="b"/>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49290158"/>
        <c:crossesAt val="0"/>
        <c:crossBetween val="midCat"/>
        <c:majorUnit val="0.03"/>
      </c:valAx>
      <c:valAx>
        <c:axId val="49290158"/>
        <c:scaling>
          <c:orientation val="minMax"/>
          <c:min val="1"/>
        </c:scaling>
        <c:delete val="0"/>
        <c:axPos val="l"/>
        <c:majorGridlines>
          <c:spPr>
            <a:ln w="9360">
              <a:solidFill>
                <a:srgbClr val="878787"/>
              </a:solidFill>
              <a:round/>
            </a:ln>
          </c:spPr>
        </c:majorGridlines>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62428781"/>
        <c:crossesAt val="0"/>
        <c:crossBetween val="midCat"/>
        <c:majorUnit val="1"/>
      </c:valAx>
      <c:spPr>
        <a:solidFill>
          <a:srgbClr val="FFFFFF"/>
        </a:solidFill>
        <a:ln w="0">
          <a:noFill/>
        </a:ln>
      </c:spPr>
    </c:plotArea>
    <c:legend>
      <c:legendPos val="r"/>
      <c:layout>
        <c:manualLayout>
          <c:xMode val="edge"/>
          <c:yMode val="edge"/>
          <c:x val="0.0362641586217811"/>
          <c:y val="0.0208961151037279"/>
        </c:manualLayout>
      </c:layout>
      <c:overlay val="0"/>
      <c:spPr>
        <a:noFill/>
        <a:ln w="0">
          <a:noFill/>
        </a:ln>
      </c:spPr>
      <c:txPr>
        <a:bodyPr/>
        <a:lstStyle/>
        <a:p>
          <a:pPr>
            <a:defRPr sz="1000" b="0" u="none" strike="noStrike">
              <a:solidFill>
                <a:srgbClr val="000000"/>
              </a:solidFill>
              <a:uFillTx/>
              <a:latin typeface="Calibri"/>
              <a:ea typeface="DejaVu Sans"/>
            </a:defRPr>
          </a:pPr>
        </a:p>
      </c:txPr>
    </c:legend>
    <c:plotVisOnly val="1"/>
    <c:dispBlanksAs val="gap"/>
  </c:chart>
  <c:spPr>
    <a:solidFill>
      <a:srgbClr val="FFFFFF"/>
    </a:solidFill>
    <a:ln w="9360">
      <a:solidFill>
        <a:srgbClr val="878787"/>
      </a:solidFill>
      <a:round/>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xMode val="edge"/>
          <c:yMode val="edge"/>
          <c:x val="0.0234536722696034"/>
          <c:y val="0.00747986191024166"/>
          <c:w val="0.956591040821396"/>
          <c:h val="0.985040276179517"/>
        </c:manualLayout>
      </c:layout>
      <c:scatterChart>
        <c:scatterStyle val="lineMarker"/>
        <c:varyColors val="0"/>
        <c:ser>
          <c:idx val="0"/>
          <c:order val="0"/>
          <c:tx>
            <c:strRef>
              <c:f>Shaping!$A$4</c:f>
              <c:strCache>
                <c:ptCount val="1"/>
                <c:pt idx="0">
                  <c:v>MAF</c:v>
                </c:pt>
              </c:strCache>
            </c:strRef>
          </c:tx>
          <c:spPr>
            <a:solidFill>
              <a:srgbClr val="4A7EBB"/>
            </a:solidFill>
            <a:ln w="28440">
              <a:solidFill>
                <a:srgbClr val="4A7EBB"/>
              </a:solidFill>
              <a:round/>
            </a:ln>
          </c:spPr>
          <c:marker>
            <c:symbol val="diamond"/>
            <c:size val="5"/>
            <c:spPr>
              <a:solidFill>
                <a:srgbClr val="4A7EBB"/>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Shaping!$X$3:$AE$3</c:f>
              <c:numCache>
                <c:formatCode>0.00</c:formatCode>
                <c:ptCount val="8"/>
                <c:pt idx="0">
                  <c:v>1.85000002384186</c:v>
                </c:pt>
                <c:pt idx="1">
                  <c:v>1.9099999666214</c:v>
                </c:pt>
                <c:pt idx="2">
                  <c:v>1.98880004882813</c:v>
                </c:pt>
                <c:pt idx="3">
                  <c:v>2.04999995231628</c:v>
                </c:pt>
                <c:pt idx="4">
                  <c:v>2.11520004272461</c:v>
                </c:pt>
                <c:pt idx="5">
                  <c:v>2.16820001602173</c:v>
                </c:pt>
                <c:pt idx="6">
                  <c:v>2.25300002098084</c:v>
                </c:pt>
                <c:pt idx="7">
                  <c:v>2.28489995002747</c:v>
                </c:pt>
              </c:numCache>
            </c:numRef>
          </c:xVal>
          <c:yVal>
            <c:numRef>
              <c:f>Shaping!$X$4:$AE$4</c:f>
              <c:numCache>
                <c:formatCode>0.0000</c:formatCode>
                <c:ptCount val="8"/>
                <c:pt idx="0">
                  <c:v>15.6571998596191</c:v>
                </c:pt>
                <c:pt idx="1">
                  <c:v>17.5491237640381</c:v>
                </c:pt>
                <c:pt idx="2">
                  <c:v>20.1315269470215</c:v>
                </c:pt>
                <c:pt idx="3">
                  <c:v>22.0675048828125</c:v>
                </c:pt>
                <c:pt idx="4">
                  <c:v>24.2800731658936</c:v>
                </c:pt>
                <c:pt idx="5">
                  <c:v>27.4472961425781</c:v>
                </c:pt>
                <c:pt idx="6">
                  <c:v>30.9146862030029</c:v>
                </c:pt>
                <c:pt idx="7">
                  <c:v>33.7314414978027</c:v>
                </c:pt>
              </c:numCache>
            </c:numRef>
          </c:yVal>
          <c:smooth val="0"/>
        </c:ser>
        <c:ser>
          <c:idx val="1"/>
          <c:order val="1"/>
          <c:tx>
            <c:strRef>
              <c:f>Shaping!$A$20</c:f>
              <c:strCache>
                <c:ptCount val="1"/>
                <c:pt idx="0">
                  <c:v>reference</c:v>
                </c:pt>
              </c:strCache>
            </c:strRef>
          </c:tx>
          <c:spPr>
            <a:solidFill>
              <a:srgbClr val="196B24"/>
            </a:solidFill>
            <a:ln w="38160">
              <a:solidFill>
                <a:srgbClr val="196B24"/>
              </a:solidFill>
              <a:round/>
            </a:ln>
          </c:spPr>
          <c:marker>
            <c:symbol val="square"/>
            <c:size val="5"/>
            <c:spPr>
              <a:solidFill>
                <a:srgbClr val="196B24"/>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Shaping!$B$20:$BC$20</c:f>
              <c:numCache>
                <c:formatCode>[$-409]General</c:formatCode>
                <c:ptCount val="54"/>
                <c:pt idx="0">
                  <c:v>0.9200000166893</c:v>
                </c:pt>
                <c:pt idx="1">
                  <c:v>0.949999988079071</c:v>
                </c:pt>
                <c:pt idx="2">
                  <c:v>0.980000019073486</c:v>
                </c:pt>
                <c:pt idx="3">
                  <c:v>1.00999999046326</c:v>
                </c:pt>
                <c:pt idx="4">
                  <c:v>1.04999995231628</c:v>
                </c:pt>
                <c:pt idx="5">
                  <c:v>1.08000004291534</c:v>
                </c:pt>
                <c:pt idx="6">
                  <c:v>1.12000000476837</c:v>
                </c:pt>
                <c:pt idx="7">
                  <c:v>1.14999997615814</c:v>
                </c:pt>
                <c:pt idx="8">
                  <c:v>1.19000005722046</c:v>
                </c:pt>
                <c:pt idx="9">
                  <c:v>1.23000001907349</c:v>
                </c:pt>
                <c:pt idx="10">
                  <c:v>1.26999998092651</c:v>
                </c:pt>
                <c:pt idx="11">
                  <c:v>1.30999994277954</c:v>
                </c:pt>
                <c:pt idx="12">
                  <c:v>1.36000001430512</c:v>
                </c:pt>
                <c:pt idx="13">
                  <c:v>1.39999997615814</c:v>
                </c:pt>
                <c:pt idx="14">
                  <c:v>1.44000005722046</c:v>
                </c:pt>
                <c:pt idx="15">
                  <c:v>1.49000000953674</c:v>
                </c:pt>
                <c:pt idx="16">
                  <c:v>1.53999996185303</c:v>
                </c:pt>
                <c:pt idx="17">
                  <c:v>1.5900000333786</c:v>
                </c:pt>
                <c:pt idx="18">
                  <c:v>1.63999998569489</c:v>
                </c:pt>
                <c:pt idx="19">
                  <c:v>1.69000005722046</c:v>
                </c:pt>
                <c:pt idx="20">
                  <c:v>1.75</c:v>
                </c:pt>
                <c:pt idx="21">
                  <c:v>1.79999995231628</c:v>
                </c:pt>
                <c:pt idx="22">
                  <c:v>1.86000001430512</c:v>
                </c:pt>
                <c:pt idx="23">
                  <c:v>1.91999995708466</c:v>
                </c:pt>
                <c:pt idx="24">
                  <c:v>1.98000001907349</c:v>
                </c:pt>
                <c:pt idx="25">
                  <c:v>2.03999996185303</c:v>
                </c:pt>
                <c:pt idx="26">
                  <c:v>2.10999989509583</c:v>
                </c:pt>
                <c:pt idx="27">
                  <c:v>2.17000007629394</c:v>
                </c:pt>
                <c:pt idx="28">
                  <c:v>2.24000000953674</c:v>
                </c:pt>
                <c:pt idx="29">
                  <c:v>2.3199999332428</c:v>
                </c:pt>
                <c:pt idx="30">
                  <c:v>2.39000010490417</c:v>
                </c:pt>
                <c:pt idx="31">
                  <c:v>2.47000002861023</c:v>
                </c:pt>
                <c:pt idx="32">
                  <c:v>2.54999995231628</c:v>
                </c:pt>
                <c:pt idx="33">
                  <c:v>2.63000011444092</c:v>
                </c:pt>
                <c:pt idx="34">
                  <c:v>2.73710012435913</c:v>
                </c:pt>
                <c:pt idx="35">
                  <c:v>2.8199999332428</c:v>
                </c:pt>
                <c:pt idx="36">
                  <c:v>2.91000008583069</c:v>
                </c:pt>
                <c:pt idx="37">
                  <c:v>2.98000001907349</c:v>
                </c:pt>
                <c:pt idx="38">
                  <c:v>3.0699999332428</c:v>
                </c:pt>
                <c:pt idx="39">
                  <c:v>3.16000008583069</c:v>
                </c:pt>
                <c:pt idx="40">
                  <c:v>3.26999998092651</c:v>
                </c:pt>
                <c:pt idx="41">
                  <c:v>3.40000009536743</c:v>
                </c:pt>
                <c:pt idx="42">
                  <c:v>3.50999999046326</c:v>
                </c:pt>
                <c:pt idx="43">
                  <c:v>3.60999989509583</c:v>
                </c:pt>
                <c:pt idx="44">
                  <c:v>3.71000003814697</c:v>
                </c:pt>
                <c:pt idx="45">
                  <c:v>3.84999990463257</c:v>
                </c:pt>
                <c:pt idx="46">
                  <c:v>3.97499990463257</c:v>
                </c:pt>
                <c:pt idx="47">
                  <c:v>4.09999990463257</c:v>
                </c:pt>
                <c:pt idx="48">
                  <c:v>4.23999977111816</c:v>
                </c:pt>
                <c:pt idx="49">
                  <c:v>4.3600001335144</c:v>
                </c:pt>
                <c:pt idx="50">
                  <c:v>4.51000022888184</c:v>
                </c:pt>
                <c:pt idx="51">
                  <c:v>4.67000007629395</c:v>
                </c:pt>
                <c:pt idx="52">
                  <c:v>4.80000019073486</c:v>
                </c:pt>
                <c:pt idx="53">
                  <c:v>4.96000003814697</c:v>
                </c:pt>
              </c:numCache>
            </c:numRef>
          </c:xVal>
          <c:yVal>
            <c:numRef>
              <c:f>Shaping!$B$21:$BC$21</c:f>
              <c:numCache>
                <c:formatCode>[$-409]General</c:formatCode>
                <c:ptCount val="54"/>
                <c:pt idx="0">
                  <c:v>1.18353116512299</c:v>
                </c:pt>
                <c:pt idx="1">
                  <c:v>1.2837837934494</c:v>
                </c:pt>
                <c:pt idx="2">
                  <c:v>1.43429636955261</c:v>
                </c:pt>
                <c:pt idx="3">
                  <c:v>1.59366250038147</c:v>
                </c:pt>
                <c:pt idx="4">
                  <c:v>1.6990213394165</c:v>
                </c:pt>
                <c:pt idx="5">
                  <c:v>1.90088522434235</c:v>
                </c:pt>
                <c:pt idx="6">
                  <c:v>2.34268403053284</c:v>
                </c:pt>
                <c:pt idx="7">
                  <c:v>2.53694009780884</c:v>
                </c:pt>
                <c:pt idx="8">
                  <c:v>2.94034647941589</c:v>
                </c:pt>
                <c:pt idx="9">
                  <c:v>3.82613492012024</c:v>
                </c:pt>
                <c:pt idx="10">
                  <c:v>4.00314044952393</c:v>
                </c:pt>
                <c:pt idx="11">
                  <c:v>4.45313119888306</c:v>
                </c:pt>
                <c:pt idx="12">
                  <c:v>5.07407999038696</c:v>
                </c:pt>
                <c:pt idx="13">
                  <c:v>5.81383800506592</c:v>
                </c:pt>
                <c:pt idx="14">
                  <c:v>6.50241231918335</c:v>
                </c:pt>
                <c:pt idx="15">
                  <c:v>7.23009967803955</c:v>
                </c:pt>
                <c:pt idx="16">
                  <c:v>7.88663291931152</c:v>
                </c:pt>
                <c:pt idx="17">
                  <c:v>9.18105697631836</c:v>
                </c:pt>
                <c:pt idx="18">
                  <c:v>9.96461582183838</c:v>
                </c:pt>
                <c:pt idx="19">
                  <c:v>11.0771064758301</c:v>
                </c:pt>
                <c:pt idx="20">
                  <c:v>12.5194597244263</c:v>
                </c:pt>
                <c:pt idx="21">
                  <c:v>14.60618019104</c:v>
                </c:pt>
                <c:pt idx="22">
                  <c:v>15.4889888763428</c:v>
                </c:pt>
                <c:pt idx="23">
                  <c:v>17.1934223175049</c:v>
                </c:pt>
                <c:pt idx="24">
                  <c:v>19.4904289245606</c:v>
                </c:pt>
                <c:pt idx="25">
                  <c:v>21.8512001037598</c:v>
                </c:pt>
                <c:pt idx="26">
                  <c:v>24.1824588775635</c:v>
                </c:pt>
                <c:pt idx="27">
                  <c:v>26.7785739898682</c:v>
                </c:pt>
                <c:pt idx="28">
                  <c:v>30.1824131011963</c:v>
                </c:pt>
                <c:pt idx="29">
                  <c:v>31.9697685241699</c:v>
                </c:pt>
                <c:pt idx="30">
                  <c:v>36.794303894043</c:v>
                </c:pt>
                <c:pt idx="31">
                  <c:v>40.9753189086914</c:v>
                </c:pt>
                <c:pt idx="32">
                  <c:v>47.0529289245606</c:v>
                </c:pt>
                <c:pt idx="33">
                  <c:v>52.8632698059082</c:v>
                </c:pt>
                <c:pt idx="34">
                  <c:v>61.7400016784668</c:v>
                </c:pt>
                <c:pt idx="35">
                  <c:v>70.6900024414063</c:v>
                </c:pt>
                <c:pt idx="36">
                  <c:v>78.5400009155273</c:v>
                </c:pt>
                <c:pt idx="37">
                  <c:v>86.8399963378906</c:v>
                </c:pt>
                <c:pt idx="38">
                  <c:v>94.7363586425781</c:v>
                </c:pt>
                <c:pt idx="39">
                  <c:v>105.176803588867</c:v>
                </c:pt>
                <c:pt idx="40">
                  <c:v>118.453674316406</c:v>
                </c:pt>
                <c:pt idx="41">
                  <c:v>140</c:v>
                </c:pt>
                <c:pt idx="42">
                  <c:v>156.059204101563</c:v>
                </c:pt>
                <c:pt idx="43">
                  <c:v>170.820449829102</c:v>
                </c:pt>
                <c:pt idx="44">
                  <c:v>187.086959838867</c:v>
                </c:pt>
                <c:pt idx="45">
                  <c:v>209.804107666016</c:v>
                </c:pt>
                <c:pt idx="46">
                  <c:v>234.766662597656</c:v>
                </c:pt>
                <c:pt idx="47">
                  <c:v>262.958618164062</c:v>
                </c:pt>
                <c:pt idx="48">
                  <c:v>288.915008544922</c:v>
                </c:pt>
                <c:pt idx="49">
                  <c:v>316.819732666016</c:v>
                </c:pt>
                <c:pt idx="50">
                  <c:v>349.429290771484</c:v>
                </c:pt>
                <c:pt idx="51">
                  <c:v>379.2666015625</c:v>
                </c:pt>
                <c:pt idx="52">
                  <c:v>404.859222412109</c:v>
                </c:pt>
                <c:pt idx="53">
                  <c:v>440.614990234375</c:v>
                </c:pt>
              </c:numCache>
            </c:numRef>
          </c:yVal>
          <c:smooth val="0"/>
        </c:ser>
        <c:axId val="78123134"/>
        <c:axId val="40886148"/>
      </c:scatterChart>
      <c:valAx>
        <c:axId val="78123134"/>
        <c:scaling>
          <c:orientation val="minMax"/>
          <c:max val="2.32"/>
          <c:min val="1.86"/>
        </c:scaling>
        <c:delete val="0"/>
        <c:axPos val="b"/>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40886148"/>
        <c:crossesAt val="0"/>
        <c:crossBetween val="midCat"/>
        <c:majorUnit val="0.03"/>
      </c:valAx>
      <c:valAx>
        <c:axId val="40886148"/>
        <c:scaling>
          <c:orientation val="minMax"/>
          <c:max val="35"/>
          <c:min val="13"/>
        </c:scaling>
        <c:delete val="0"/>
        <c:axPos val="l"/>
        <c:majorGridlines>
          <c:spPr>
            <a:ln w="9360">
              <a:solidFill>
                <a:srgbClr val="878787"/>
              </a:solidFill>
              <a:round/>
            </a:ln>
          </c:spPr>
        </c:majorGridlines>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78123134"/>
        <c:crossesAt val="0"/>
        <c:crossBetween val="midCat"/>
      </c:valAx>
      <c:spPr>
        <a:solidFill>
          <a:srgbClr val="FFFFFF"/>
        </a:solidFill>
        <a:ln w="0">
          <a:noFill/>
        </a:ln>
      </c:spPr>
    </c:plotArea>
    <c:legend>
      <c:legendPos val="r"/>
      <c:layout>
        <c:manualLayout>
          <c:xMode val="edge"/>
          <c:yMode val="edge"/>
          <c:x val="0.0362567481013816"/>
          <c:y val="0.0208955223880597"/>
        </c:manualLayout>
      </c:layout>
      <c:overlay val="0"/>
      <c:spPr>
        <a:noFill/>
        <a:ln w="0">
          <a:noFill/>
        </a:ln>
      </c:spPr>
      <c:txPr>
        <a:bodyPr/>
        <a:lstStyle/>
        <a:p>
          <a:pPr>
            <a:defRPr sz="1000" b="0" u="none" strike="noStrike">
              <a:solidFill>
                <a:srgbClr val="000000"/>
              </a:solidFill>
              <a:uFillTx/>
              <a:latin typeface="Calibri"/>
              <a:ea typeface="DejaVu Sans"/>
            </a:defRPr>
          </a:pPr>
        </a:p>
      </c:txPr>
    </c:legend>
    <c:plotVisOnly val="1"/>
    <c:dispBlanksAs val="gap"/>
  </c:chart>
  <c:spPr>
    <a:solidFill>
      <a:srgbClr val="FFFFFF"/>
    </a:solidFill>
    <a:ln w="9360">
      <a:solidFill>
        <a:srgbClr val="878787"/>
      </a:solidFill>
      <a:round/>
    </a:ln>
  </c:spPr>
</c:chartSpace>
</file>

<file path=xl/charts/chart7.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xMode val="edge"/>
          <c:yMode val="edge"/>
          <c:x val="0.0234464393450808"/>
          <c:y val="0.0181483429773803"/>
          <c:w val="0.9566230469969"/>
          <c:h val="0.974644923724356"/>
        </c:manualLayout>
      </c:layout>
      <c:scatterChart>
        <c:scatterStyle val="lineMarker"/>
        <c:varyColors val="0"/>
        <c:ser>
          <c:idx val="0"/>
          <c:order val="0"/>
          <c:tx>
            <c:strRef>
              <c:f>Shaping!$A$4</c:f>
              <c:strCache>
                <c:ptCount val="1"/>
                <c:pt idx="0">
                  <c:v>MAF</c:v>
                </c:pt>
              </c:strCache>
            </c:strRef>
          </c:tx>
          <c:spPr>
            <a:solidFill>
              <a:srgbClr val="4A7EBB"/>
            </a:solidFill>
            <a:ln w="28440">
              <a:solidFill>
                <a:srgbClr val="4A7EBB"/>
              </a:solidFill>
              <a:round/>
            </a:ln>
          </c:spPr>
          <c:marker>
            <c:symbol val="diamond"/>
            <c:size val="5"/>
            <c:spPr>
              <a:solidFill>
                <a:srgbClr val="4A7EBB"/>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Shaping!$AF$3:$AM$3</c:f>
              <c:numCache>
                <c:formatCode>0.00</c:formatCode>
                <c:ptCount val="8"/>
                <c:pt idx="0">
                  <c:v>2.38770008087158</c:v>
                </c:pt>
                <c:pt idx="1">
                  <c:v>2.44899988174439</c:v>
                </c:pt>
                <c:pt idx="2">
                  <c:v>2.54819989204407</c:v>
                </c:pt>
                <c:pt idx="3">
                  <c:v>2.61999988555908</c:v>
                </c:pt>
                <c:pt idx="4">
                  <c:v>2.73270010948181</c:v>
                </c:pt>
                <c:pt idx="5">
                  <c:v>2.82739996910095</c:v>
                </c:pt>
                <c:pt idx="6">
                  <c:v>2.91249990463257</c:v>
                </c:pt>
                <c:pt idx="7">
                  <c:v>2.99000000953674</c:v>
                </c:pt>
              </c:numCache>
            </c:numRef>
          </c:xVal>
          <c:yVal>
            <c:numRef>
              <c:f>Shaping!$AF$4:$AM$4</c:f>
              <c:numCache>
                <c:formatCode>0.0000</c:formatCode>
                <c:ptCount val="8"/>
                <c:pt idx="0">
                  <c:v>37.5734634399414</c:v>
                </c:pt>
                <c:pt idx="1">
                  <c:v>42.2183265686035</c:v>
                </c:pt>
                <c:pt idx="2">
                  <c:v>47.372917175293</c:v>
                </c:pt>
                <c:pt idx="3">
                  <c:v>50.5260696411133</c:v>
                </c:pt>
                <c:pt idx="4">
                  <c:v>58.5389595031738</c:v>
                </c:pt>
                <c:pt idx="5">
                  <c:v>67.1706237792969</c:v>
                </c:pt>
                <c:pt idx="6">
                  <c:v>72.7894744873047</c:v>
                </c:pt>
                <c:pt idx="7">
                  <c:v>84.9892501831055</c:v>
                </c:pt>
              </c:numCache>
            </c:numRef>
          </c:yVal>
          <c:smooth val="0"/>
        </c:ser>
        <c:ser>
          <c:idx val="1"/>
          <c:order val="1"/>
          <c:tx>
            <c:strRef>
              <c:f>Shaping!$A$20</c:f>
              <c:strCache>
                <c:ptCount val="1"/>
                <c:pt idx="0">
                  <c:v>reference</c:v>
                </c:pt>
              </c:strCache>
            </c:strRef>
          </c:tx>
          <c:spPr>
            <a:solidFill>
              <a:srgbClr val="FF420E"/>
            </a:solidFill>
            <a:ln w="28800">
              <a:solidFill>
                <a:srgbClr val="FF420E"/>
              </a:solidFill>
              <a:round/>
            </a:ln>
          </c:spPr>
          <c:marker>
            <c:symbol val="diamond"/>
            <c:size val="8"/>
            <c:spPr>
              <a:solidFill>
                <a:srgbClr val="FF420E"/>
              </a:solidFill>
            </c:spPr>
          </c:marker>
          <c:dLbls>
            <c:txPr>
              <a:bodyPr wrap="square"/>
              <a:lstStyle/>
              <a:p>
                <a:pPr>
                  <a:defRPr sz="1000" b="0" u="none" strike="noStrike">
                    <a:solidFill>
                      <a:srgbClr val="000000"/>
                    </a:solidFill>
                    <a:uFillTx/>
                    <a:latin typeface="Arial"/>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Shaping!$AF$20:$AM$20</c:f>
              <c:numCache>
                <c:formatCode>[$-409]General</c:formatCode>
                <c:ptCount val="8"/>
                <c:pt idx="0">
                  <c:v>2.39000010490417</c:v>
                </c:pt>
                <c:pt idx="1">
                  <c:v>2.47000002861023</c:v>
                </c:pt>
                <c:pt idx="2">
                  <c:v>2.54999995231628</c:v>
                </c:pt>
                <c:pt idx="3">
                  <c:v>2.63000011444092</c:v>
                </c:pt>
                <c:pt idx="4">
                  <c:v>2.73710012435913</c:v>
                </c:pt>
                <c:pt idx="5">
                  <c:v>2.8199999332428</c:v>
                </c:pt>
                <c:pt idx="6">
                  <c:v>2.91000008583069</c:v>
                </c:pt>
                <c:pt idx="7">
                  <c:v>2.98000001907349</c:v>
                </c:pt>
              </c:numCache>
            </c:numRef>
          </c:xVal>
          <c:yVal>
            <c:numRef>
              <c:f>Shaping!$AF$21:$AM$21</c:f>
              <c:numCache>
                <c:formatCode>[$-409]General</c:formatCode>
                <c:ptCount val="8"/>
                <c:pt idx="0">
                  <c:v>36.794303894043</c:v>
                </c:pt>
                <c:pt idx="1">
                  <c:v>40.9753189086914</c:v>
                </c:pt>
                <c:pt idx="2">
                  <c:v>47.0529289245606</c:v>
                </c:pt>
                <c:pt idx="3">
                  <c:v>52.8632698059082</c:v>
                </c:pt>
                <c:pt idx="4">
                  <c:v>61.7400016784668</c:v>
                </c:pt>
                <c:pt idx="5">
                  <c:v>70.6900024414063</c:v>
                </c:pt>
                <c:pt idx="6">
                  <c:v>78.5400009155273</c:v>
                </c:pt>
                <c:pt idx="7">
                  <c:v>86.8399963378906</c:v>
                </c:pt>
              </c:numCache>
            </c:numRef>
          </c:yVal>
          <c:smooth val="0"/>
        </c:ser>
        <c:axId val="81177886"/>
        <c:axId val="95844068"/>
      </c:scatterChart>
      <c:valAx>
        <c:axId val="81177886"/>
        <c:scaling>
          <c:orientation val="minMax"/>
          <c:max val="3"/>
          <c:min val="2.33"/>
        </c:scaling>
        <c:delete val="0"/>
        <c:axPos val="b"/>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95844068"/>
        <c:crossesAt val="0"/>
        <c:crossBetween val="midCat"/>
      </c:valAx>
      <c:valAx>
        <c:axId val="95844068"/>
        <c:scaling>
          <c:orientation val="minMax"/>
          <c:max val="90"/>
          <c:min val="30"/>
        </c:scaling>
        <c:delete val="0"/>
        <c:axPos val="l"/>
        <c:majorGridlines>
          <c:spPr>
            <a:ln w="9360">
              <a:solidFill>
                <a:srgbClr val="878787"/>
              </a:solidFill>
              <a:round/>
            </a:ln>
          </c:spPr>
        </c:majorGridlines>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81177886"/>
        <c:crossesAt val="0"/>
        <c:crossBetween val="midCat"/>
        <c:majorUnit val="10"/>
      </c:valAx>
      <c:spPr>
        <a:solidFill>
          <a:srgbClr val="FFFFFF"/>
        </a:solidFill>
        <a:ln w="0">
          <a:noFill/>
        </a:ln>
      </c:spPr>
    </c:plotArea>
    <c:legend>
      <c:legendPos val="r"/>
      <c:layout>
        <c:manualLayout>
          <c:xMode val="edge"/>
          <c:yMode val="edge"/>
          <c:x val="0.0362634840486573"/>
          <c:y val="0.0209202945995438"/>
        </c:manualLayout>
      </c:layout>
      <c:overlay val="0"/>
      <c:spPr>
        <a:noFill/>
        <a:ln w="0">
          <a:noFill/>
        </a:ln>
      </c:spPr>
      <c:txPr>
        <a:bodyPr/>
        <a:lstStyle/>
        <a:p>
          <a:pPr>
            <a:defRPr sz="1000" b="0" u="none" strike="noStrike">
              <a:solidFill>
                <a:srgbClr val="000000"/>
              </a:solidFill>
              <a:uFillTx/>
              <a:latin typeface="Calibri"/>
              <a:ea typeface="DejaVu Sans"/>
            </a:defRPr>
          </a:pPr>
        </a:p>
      </c:txPr>
    </c:legend>
    <c:plotVisOnly val="1"/>
    <c:dispBlanksAs val="gap"/>
  </c:chart>
  <c:spPr>
    <a:solidFill>
      <a:srgbClr val="FFFFFF"/>
    </a:solidFill>
    <a:ln w="9360">
      <a:solidFill>
        <a:srgbClr val="878787"/>
      </a:solidFill>
      <a:round/>
    </a:ln>
  </c:spPr>
</c:chartSpace>
</file>

<file path=xl/charts/chart8.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xMode val="edge"/>
          <c:yMode val="edge"/>
          <c:x val="0.0197775798869261"/>
          <c:y val="0.0181779972680467"/>
          <c:w val="0.955329591815603"/>
          <c:h val="0.974414206157403"/>
        </c:manualLayout>
      </c:layout>
      <c:scatterChart>
        <c:scatterStyle val="lineMarker"/>
        <c:varyColors val="0"/>
        <c:ser>
          <c:idx val="0"/>
          <c:order val="0"/>
          <c:tx>
            <c:strRef>
              <c:f>Shaping!$A$4</c:f>
              <c:strCache>
                <c:ptCount val="1"/>
                <c:pt idx="0">
                  <c:v>MAF</c:v>
                </c:pt>
              </c:strCache>
            </c:strRef>
          </c:tx>
          <c:spPr>
            <a:solidFill>
              <a:srgbClr val="4A7EBB"/>
            </a:solidFill>
            <a:ln w="28440">
              <a:solidFill>
                <a:srgbClr val="4A7EBB"/>
              </a:solidFill>
              <a:round/>
            </a:ln>
          </c:spPr>
          <c:marker>
            <c:symbol val="diamond"/>
            <c:size val="5"/>
            <c:spPr>
              <a:solidFill>
                <a:srgbClr val="4A7EBB"/>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Shaping!$AN$3:$BC$3</c:f>
              <c:numCache>
                <c:formatCode>0.00</c:formatCode>
                <c:ptCount val="16"/>
                <c:pt idx="0">
                  <c:v>3.06539988517761</c:v>
                </c:pt>
                <c:pt idx="1">
                  <c:v>3.15079998970032</c:v>
                </c:pt>
                <c:pt idx="2">
                  <c:v>3.25999999046326</c:v>
                </c:pt>
                <c:pt idx="3">
                  <c:v>3.40799999237061</c:v>
                </c:pt>
                <c:pt idx="4">
                  <c:v>3.51999998092651</c:v>
                </c:pt>
                <c:pt idx="5">
                  <c:v>3.6136999130249</c:v>
                </c:pt>
                <c:pt idx="6">
                  <c:v>3.70980000495911</c:v>
                </c:pt>
                <c:pt idx="7">
                  <c:v>3.83999991416931</c:v>
                </c:pt>
                <c:pt idx="8">
                  <c:v>3.96770000457764</c:v>
                </c:pt>
                <c:pt idx="9">
                  <c:v>4.1100001335144</c:v>
                </c:pt>
                <c:pt idx="10">
                  <c:v>4.23379993438721</c:v>
                </c:pt>
                <c:pt idx="11">
                  <c:v>4.36899995803833</c:v>
                </c:pt>
                <c:pt idx="12">
                  <c:v>4.51999998092651</c:v>
                </c:pt>
                <c:pt idx="13">
                  <c:v>4.66709995269775</c:v>
                </c:pt>
                <c:pt idx="14">
                  <c:v>4.78999996185303</c:v>
                </c:pt>
                <c:pt idx="15">
                  <c:v>4.96339988708496</c:v>
                </c:pt>
              </c:numCache>
            </c:numRef>
          </c:xVal>
          <c:yVal>
            <c:numRef>
              <c:f>Shaping!$AN$4:$BC$4</c:f>
              <c:numCache>
                <c:formatCode>0.0000</c:formatCode>
                <c:ptCount val="16"/>
                <c:pt idx="0">
                  <c:v>90.1319732666016</c:v>
                </c:pt>
                <c:pt idx="1">
                  <c:v>100.619087219238</c:v>
                </c:pt>
                <c:pt idx="2">
                  <c:v>114.256034851074</c:v>
                </c:pt>
                <c:pt idx="3">
                  <c:v>138.519149780273</c:v>
                </c:pt>
                <c:pt idx="4">
                  <c:v>165.102005004883</c:v>
                </c:pt>
                <c:pt idx="5">
                  <c:v>172.401794433594</c:v>
                </c:pt>
                <c:pt idx="6">
                  <c:v>177.898651123047</c:v>
                </c:pt>
                <c:pt idx="7">
                  <c:v>203.509963989258</c:v>
                </c:pt>
                <c:pt idx="8">
                  <c:v>232.278167724609</c:v>
                </c:pt>
                <c:pt idx="9">
                  <c:v>262.958587646484</c:v>
                </c:pt>
                <c:pt idx="10">
                  <c:v>291.804168701172</c:v>
                </c:pt>
                <c:pt idx="11">
                  <c:v>323.187774658203</c:v>
                </c:pt>
                <c:pt idx="12">
                  <c:v>356.452819824219</c:v>
                </c:pt>
                <c:pt idx="13">
                  <c:v>379.2666015625</c:v>
                </c:pt>
                <c:pt idx="14">
                  <c:v>404.859191894531</c:v>
                </c:pt>
                <c:pt idx="15">
                  <c:v>440.614990234375</c:v>
                </c:pt>
              </c:numCache>
            </c:numRef>
          </c:yVal>
          <c:smooth val="0"/>
        </c:ser>
        <c:ser>
          <c:idx val="1"/>
          <c:order val="1"/>
          <c:tx>
            <c:strRef>
              <c:f>reference</c:f>
              <c:strCache>
                <c:ptCount val="1"/>
                <c:pt idx="0">
                  <c:v>reference</c:v>
                </c:pt>
              </c:strCache>
            </c:strRef>
          </c:tx>
          <c:spPr>
            <a:solidFill>
              <a:srgbClr val="FF420E"/>
            </a:solidFill>
            <a:ln w="28800">
              <a:solidFill>
                <a:srgbClr val="FF420E"/>
              </a:solidFill>
              <a:round/>
            </a:ln>
          </c:spPr>
          <c:marker>
            <c:symbol val="diamond"/>
            <c:size val="8"/>
            <c:spPr>
              <a:solidFill>
                <a:srgbClr val="FF420E"/>
              </a:solidFill>
            </c:spPr>
          </c:marker>
          <c:dLbls>
            <c:txPr>
              <a:bodyPr wrap="square"/>
              <a:lstStyle/>
              <a:p>
                <a:pPr>
                  <a:defRPr sz="1000" b="0" u="none" strike="noStrike">
                    <a:solidFill>
                      <a:srgbClr val="000000"/>
                    </a:solidFill>
                    <a:uFillTx/>
                    <a:latin typeface="Arial"/>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Shaping!$AN$20:$BC$20</c:f>
              <c:numCache>
                <c:formatCode>[$-409]General</c:formatCode>
                <c:ptCount val="16"/>
                <c:pt idx="0">
                  <c:v>3.0699999332428</c:v>
                </c:pt>
                <c:pt idx="1">
                  <c:v>3.16000008583069</c:v>
                </c:pt>
                <c:pt idx="2">
                  <c:v>3.26999998092651</c:v>
                </c:pt>
                <c:pt idx="3">
                  <c:v>3.40000009536743</c:v>
                </c:pt>
                <c:pt idx="4">
                  <c:v>3.50999999046326</c:v>
                </c:pt>
                <c:pt idx="5">
                  <c:v>3.60999989509583</c:v>
                </c:pt>
                <c:pt idx="6">
                  <c:v>3.71000003814697</c:v>
                </c:pt>
                <c:pt idx="7">
                  <c:v>3.84999990463257</c:v>
                </c:pt>
                <c:pt idx="8">
                  <c:v>3.97499990463257</c:v>
                </c:pt>
                <c:pt idx="9">
                  <c:v>4.09999990463257</c:v>
                </c:pt>
                <c:pt idx="10">
                  <c:v>4.23999977111816</c:v>
                </c:pt>
                <c:pt idx="11">
                  <c:v>4.3600001335144</c:v>
                </c:pt>
                <c:pt idx="12">
                  <c:v>4.51000022888184</c:v>
                </c:pt>
                <c:pt idx="13">
                  <c:v>4.67000007629395</c:v>
                </c:pt>
                <c:pt idx="14">
                  <c:v>4.80000019073486</c:v>
                </c:pt>
                <c:pt idx="15">
                  <c:v>4.96000003814697</c:v>
                </c:pt>
              </c:numCache>
            </c:numRef>
          </c:xVal>
          <c:yVal>
            <c:numRef>
              <c:f>Shaping!$AN$21:$BC$21</c:f>
              <c:numCache>
                <c:formatCode>[$-409]General</c:formatCode>
                <c:ptCount val="16"/>
                <c:pt idx="0">
                  <c:v>94.7363586425781</c:v>
                </c:pt>
                <c:pt idx="1">
                  <c:v>105.176803588867</c:v>
                </c:pt>
                <c:pt idx="2">
                  <c:v>118.453674316406</c:v>
                </c:pt>
                <c:pt idx="3">
                  <c:v>140</c:v>
                </c:pt>
                <c:pt idx="4">
                  <c:v>156.059204101563</c:v>
                </c:pt>
                <c:pt idx="5">
                  <c:v>170.820449829102</c:v>
                </c:pt>
                <c:pt idx="6">
                  <c:v>187.086959838867</c:v>
                </c:pt>
                <c:pt idx="7">
                  <c:v>209.804107666016</c:v>
                </c:pt>
                <c:pt idx="8">
                  <c:v>234.766662597656</c:v>
                </c:pt>
                <c:pt idx="9">
                  <c:v>262.958618164062</c:v>
                </c:pt>
                <c:pt idx="10">
                  <c:v>288.915008544922</c:v>
                </c:pt>
                <c:pt idx="11">
                  <c:v>316.819732666016</c:v>
                </c:pt>
                <c:pt idx="12">
                  <c:v>349.429290771484</c:v>
                </c:pt>
                <c:pt idx="13">
                  <c:v>379.2666015625</c:v>
                </c:pt>
                <c:pt idx="14">
                  <c:v>404.859222412109</c:v>
                </c:pt>
                <c:pt idx="15">
                  <c:v>440.614990234375</c:v>
                </c:pt>
              </c:numCache>
            </c:numRef>
          </c:yVal>
          <c:smooth val="0"/>
        </c:ser>
        <c:axId val="64343869"/>
        <c:axId val="34239175"/>
      </c:scatterChart>
      <c:valAx>
        <c:axId val="64343869"/>
        <c:scaling>
          <c:orientation val="minMax"/>
          <c:max val="5"/>
          <c:min val="3"/>
        </c:scaling>
        <c:delete val="0"/>
        <c:axPos val="b"/>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34239175"/>
        <c:crossesAt val="0"/>
        <c:crossBetween val="midCat"/>
      </c:valAx>
      <c:valAx>
        <c:axId val="34239175"/>
        <c:scaling>
          <c:orientation val="minMax"/>
          <c:max val="450"/>
        </c:scaling>
        <c:delete val="0"/>
        <c:axPos val="l"/>
        <c:majorGridlines>
          <c:spPr>
            <a:ln w="9360">
              <a:solidFill>
                <a:srgbClr val="878787"/>
              </a:solidFill>
              <a:round/>
            </a:ln>
          </c:spPr>
        </c:majorGridlines>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64343869"/>
        <c:crossesAt val="0"/>
        <c:crossBetween val="midCat"/>
      </c:valAx>
      <c:spPr>
        <a:solidFill>
          <a:srgbClr val="FFFFFF"/>
        </a:solidFill>
        <a:ln w="0">
          <a:noFill/>
        </a:ln>
      </c:spPr>
    </c:plotArea>
    <c:legend>
      <c:legendPos val="r"/>
      <c:layout>
        <c:manualLayout>
          <c:xMode val="edge"/>
          <c:yMode val="edge"/>
          <c:x val="0.0362550795704783"/>
          <c:y val="0.0209040111754141"/>
        </c:manualLayout>
      </c:layout>
      <c:overlay val="0"/>
      <c:spPr>
        <a:noFill/>
        <a:ln w="0">
          <a:noFill/>
        </a:ln>
      </c:spPr>
      <c:txPr>
        <a:bodyPr/>
        <a:lstStyle/>
        <a:p>
          <a:pPr>
            <a:defRPr sz="1000" b="0" u="none" strike="noStrike">
              <a:solidFill>
                <a:srgbClr val="000000"/>
              </a:solidFill>
              <a:uFillTx/>
              <a:latin typeface="Calibri"/>
              <a:ea typeface="DejaVu Sans"/>
            </a:defRPr>
          </a:pPr>
        </a:p>
      </c:txPr>
    </c:legend>
    <c:plotVisOnly val="1"/>
    <c:dispBlanksAs val="gap"/>
  </c:chart>
  <c:spPr>
    <a:solidFill>
      <a:srgbClr val="FFFFFF"/>
    </a:solidFill>
    <a:ln w="9360">
      <a:solidFill>
        <a:srgbClr val="878787"/>
      </a:solidFill>
      <a:round/>
    </a:ln>
  </c:spPr>
</c:chartSpace>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xMode val="edge"/>
          <c:yMode val="edge"/>
          <c:x val="0.0235798994047344"/>
          <c:y val="0.0074613608100906"/>
          <c:w val="0.951525079599465"/>
          <c:h val="0.985077278379819"/>
        </c:manualLayout>
      </c:layout>
      <c:scatterChart>
        <c:scatterStyle val="lineMarker"/>
        <c:varyColors val="0"/>
        <c:ser>
          <c:idx val="0"/>
          <c:order val="0"/>
          <c:tx>
            <c:strRef>
              <c:f>Shaping!$A$4</c:f>
              <c:strCache>
                <c:ptCount val="1"/>
                <c:pt idx="0">
                  <c:v>MAF</c:v>
                </c:pt>
              </c:strCache>
            </c:strRef>
          </c:tx>
          <c:spPr>
            <a:solidFill>
              <a:srgbClr val="4A7EBB"/>
            </a:solidFill>
            <a:ln w="28440">
              <a:solidFill>
                <a:srgbClr val="4A7EBB"/>
              </a:solidFill>
              <a:round/>
            </a:ln>
          </c:spPr>
          <c:marker>
            <c:symbol val="diamond"/>
            <c:size val="5"/>
            <c:spPr>
              <a:solidFill>
                <a:srgbClr val="4A7EBB"/>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Shaping!$B$3:$Y$3</c:f>
              <c:numCache>
                <c:formatCode>0.00</c:formatCode>
                <c:ptCount val="24"/>
                <c:pt idx="0">
                  <c:v>0.930000007152557</c:v>
                </c:pt>
                <c:pt idx="1">
                  <c:v>0.939999997615814</c:v>
                </c:pt>
                <c:pt idx="2">
                  <c:v>0.987100005149841</c:v>
                </c:pt>
                <c:pt idx="3">
                  <c:v>1</c:v>
                </c:pt>
                <c:pt idx="4">
                  <c:v>1.05869996547699</c:v>
                </c:pt>
                <c:pt idx="5">
                  <c:v>1.07270002365112</c:v>
                </c:pt>
                <c:pt idx="6">
                  <c:v>1.1282000541687</c:v>
                </c:pt>
                <c:pt idx="7">
                  <c:v>1.14030003547669</c:v>
                </c:pt>
                <c:pt idx="8">
                  <c:v>1.18040001392365</c:v>
                </c:pt>
                <c:pt idx="9">
                  <c:v>1.22010004520416</c:v>
                </c:pt>
                <c:pt idx="10">
                  <c:v>1.27999997138977</c:v>
                </c:pt>
                <c:pt idx="11">
                  <c:v>1.30209994316101</c:v>
                </c:pt>
                <c:pt idx="12">
                  <c:v>1.36280000209808</c:v>
                </c:pt>
                <c:pt idx="13">
                  <c:v>1.39479994773865</c:v>
                </c:pt>
                <c:pt idx="14">
                  <c:v>1.45000004768372</c:v>
                </c:pt>
                <c:pt idx="15">
                  <c:v>1.48010003566742</c:v>
                </c:pt>
                <c:pt idx="16">
                  <c:v>1.54729998111725</c:v>
                </c:pt>
                <c:pt idx="17">
                  <c:v>1.59300005435944</c:v>
                </c:pt>
                <c:pt idx="18">
                  <c:v>1.64170002937317</c:v>
                </c:pt>
                <c:pt idx="19">
                  <c:v>1.67999994754791</c:v>
                </c:pt>
                <c:pt idx="20">
                  <c:v>1.74510002136231</c:v>
                </c:pt>
                <c:pt idx="21">
                  <c:v>1.80999994277954</c:v>
                </c:pt>
                <c:pt idx="22">
                  <c:v>1.85000002384186</c:v>
                </c:pt>
                <c:pt idx="23">
                  <c:v>1.9099999666214</c:v>
                </c:pt>
              </c:numCache>
            </c:numRef>
          </c:xVal>
          <c:yVal>
            <c:numRef>
              <c:f>Shaping!$B$4:$Y$4</c:f>
              <c:numCache>
                <c:formatCode>0.0000</c:formatCode>
                <c:ptCount val="24"/>
                <c:pt idx="0">
                  <c:v>1.27519905567169</c:v>
                </c:pt>
                <c:pt idx="1">
                  <c:v>1.39710319042206</c:v>
                </c:pt>
                <c:pt idx="2">
                  <c:v>1.56088542938232</c:v>
                </c:pt>
                <c:pt idx="3">
                  <c:v>1.73435366153717</c:v>
                </c:pt>
                <c:pt idx="4">
                  <c:v>1.84894692897797</c:v>
                </c:pt>
                <c:pt idx="5">
                  <c:v>2.06866574287415</c:v>
                </c:pt>
                <c:pt idx="6">
                  <c:v>2.54945755004883</c:v>
                </c:pt>
                <c:pt idx="7">
                  <c:v>2.76079678535461</c:v>
                </c:pt>
                <c:pt idx="8">
                  <c:v>3.19979906082153</c:v>
                </c:pt>
                <c:pt idx="9">
                  <c:v>3.89676022529602</c:v>
                </c:pt>
                <c:pt idx="10">
                  <c:v>4.44396162033081</c:v>
                </c:pt>
                <c:pt idx="11">
                  <c:v>4.56136798858643</c:v>
                </c:pt>
                <c:pt idx="12">
                  <c:v>5.62495613098145</c:v>
                </c:pt>
                <c:pt idx="13">
                  <c:v>6.22537088394165</c:v>
                </c:pt>
                <c:pt idx="14">
                  <c:v>6.43613862991333</c:v>
                </c:pt>
                <c:pt idx="15">
                  <c:v>7.57886123657227</c:v>
                </c:pt>
                <c:pt idx="16">
                  <c:v>7.80774879455566</c:v>
                </c:pt>
                <c:pt idx="17">
                  <c:v>9.45653247833252</c:v>
                </c:pt>
                <c:pt idx="18">
                  <c:v>9.964599609375</c:v>
                </c:pt>
                <c:pt idx="19">
                  <c:v>11.0770998001099</c:v>
                </c:pt>
                <c:pt idx="20">
                  <c:v>12.5194997787476</c:v>
                </c:pt>
                <c:pt idx="21">
                  <c:v>15.0081624984741</c:v>
                </c:pt>
                <c:pt idx="22">
                  <c:v>15.6571998596191</c:v>
                </c:pt>
                <c:pt idx="23">
                  <c:v>17.5491237640381</c:v>
                </c:pt>
              </c:numCache>
            </c:numRef>
          </c:yVal>
          <c:smooth val="0"/>
        </c:ser>
        <c:ser>
          <c:idx val="1"/>
          <c:order val="1"/>
          <c:tx>
            <c:strRef>
              <c:f>Shaping!$A$20</c:f>
              <c:strCache>
                <c:ptCount val="1"/>
                <c:pt idx="0">
                  <c:v>reference</c:v>
                </c:pt>
              </c:strCache>
            </c:strRef>
          </c:tx>
          <c:spPr>
            <a:solidFill>
              <a:srgbClr val="196B24"/>
            </a:solidFill>
            <a:ln w="38160">
              <a:solidFill>
                <a:srgbClr val="196B24"/>
              </a:solidFill>
              <a:round/>
            </a:ln>
          </c:spPr>
          <c:marker>
            <c:symbol val="square"/>
            <c:size val="5"/>
            <c:spPr>
              <a:solidFill>
                <a:srgbClr val="196B24"/>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Shaping!$B$20:$Y$20</c:f>
              <c:numCache>
                <c:formatCode>[$-409]General</c:formatCode>
                <c:ptCount val="24"/>
                <c:pt idx="0">
                  <c:v>0.9200000166893</c:v>
                </c:pt>
                <c:pt idx="1">
                  <c:v>0.949999988079071</c:v>
                </c:pt>
                <c:pt idx="2">
                  <c:v>0.980000019073486</c:v>
                </c:pt>
                <c:pt idx="3">
                  <c:v>1.00999999046326</c:v>
                </c:pt>
                <c:pt idx="4">
                  <c:v>1.04999995231628</c:v>
                </c:pt>
                <c:pt idx="5">
                  <c:v>1.08000004291534</c:v>
                </c:pt>
                <c:pt idx="6">
                  <c:v>1.12000000476837</c:v>
                </c:pt>
                <c:pt idx="7">
                  <c:v>1.14999997615814</c:v>
                </c:pt>
                <c:pt idx="8">
                  <c:v>1.19000005722046</c:v>
                </c:pt>
                <c:pt idx="9">
                  <c:v>1.23000001907349</c:v>
                </c:pt>
                <c:pt idx="10">
                  <c:v>1.26999998092651</c:v>
                </c:pt>
                <c:pt idx="11">
                  <c:v>1.30999994277954</c:v>
                </c:pt>
                <c:pt idx="12">
                  <c:v>1.36000001430512</c:v>
                </c:pt>
                <c:pt idx="13">
                  <c:v>1.39999997615814</c:v>
                </c:pt>
                <c:pt idx="14">
                  <c:v>1.44000005722046</c:v>
                </c:pt>
                <c:pt idx="15">
                  <c:v>1.49000000953674</c:v>
                </c:pt>
                <c:pt idx="16">
                  <c:v>1.53999996185303</c:v>
                </c:pt>
                <c:pt idx="17">
                  <c:v>1.5900000333786</c:v>
                </c:pt>
                <c:pt idx="18">
                  <c:v>1.63999998569489</c:v>
                </c:pt>
                <c:pt idx="19">
                  <c:v>1.69000005722046</c:v>
                </c:pt>
                <c:pt idx="20">
                  <c:v>1.75</c:v>
                </c:pt>
                <c:pt idx="21">
                  <c:v>1.79999995231628</c:v>
                </c:pt>
                <c:pt idx="22">
                  <c:v>1.86000001430512</c:v>
                </c:pt>
                <c:pt idx="23">
                  <c:v>1.91999995708466</c:v>
                </c:pt>
              </c:numCache>
            </c:numRef>
          </c:xVal>
          <c:yVal>
            <c:numRef>
              <c:f>Shaping!$B$21:$Y21</c:f>
              <c:numCache>
                <c:formatCode>[$-409]General</c:formatCode>
                <c:ptCount val="24"/>
                <c:pt idx="0">
                  <c:v>1.18353116512299</c:v>
                </c:pt>
                <c:pt idx="1">
                  <c:v>1.2837837934494</c:v>
                </c:pt>
                <c:pt idx="2">
                  <c:v>1.43429636955261</c:v>
                </c:pt>
                <c:pt idx="3">
                  <c:v>1.59366250038147</c:v>
                </c:pt>
                <c:pt idx="4">
                  <c:v>1.6990213394165</c:v>
                </c:pt>
                <c:pt idx="5">
                  <c:v>1.90088522434235</c:v>
                </c:pt>
                <c:pt idx="6">
                  <c:v>2.34268403053284</c:v>
                </c:pt>
                <c:pt idx="7">
                  <c:v>2.53694009780884</c:v>
                </c:pt>
                <c:pt idx="8">
                  <c:v>2.94034647941589</c:v>
                </c:pt>
                <c:pt idx="9">
                  <c:v>3.82613492012024</c:v>
                </c:pt>
                <c:pt idx="10">
                  <c:v>4.00314044952393</c:v>
                </c:pt>
                <c:pt idx="11">
                  <c:v>4.45313119888306</c:v>
                </c:pt>
                <c:pt idx="12">
                  <c:v>5.07407999038696</c:v>
                </c:pt>
                <c:pt idx="13">
                  <c:v>5.81383800506592</c:v>
                </c:pt>
                <c:pt idx="14">
                  <c:v>6.50241231918335</c:v>
                </c:pt>
                <c:pt idx="15">
                  <c:v>7.23009967803955</c:v>
                </c:pt>
                <c:pt idx="16">
                  <c:v>7.88663291931152</c:v>
                </c:pt>
                <c:pt idx="17">
                  <c:v>9.18105697631836</c:v>
                </c:pt>
                <c:pt idx="18">
                  <c:v>9.96461582183838</c:v>
                </c:pt>
                <c:pt idx="19">
                  <c:v>11.0771064758301</c:v>
                </c:pt>
                <c:pt idx="20">
                  <c:v>12.5194597244263</c:v>
                </c:pt>
                <c:pt idx="21">
                  <c:v>14.60618019104</c:v>
                </c:pt>
                <c:pt idx="22">
                  <c:v>15.4889888763428</c:v>
                </c:pt>
                <c:pt idx="23">
                  <c:v>17.1934223175049</c:v>
                </c:pt>
              </c:numCache>
            </c:numRef>
          </c:yVal>
          <c:smooth val="0"/>
        </c:ser>
        <c:axId val="61927297"/>
        <c:axId val="53369677"/>
      </c:scatterChart>
      <c:valAx>
        <c:axId val="61927297"/>
        <c:scaling>
          <c:orientation val="minMax"/>
          <c:max val="2"/>
          <c:min val="0.9"/>
        </c:scaling>
        <c:delete val="0"/>
        <c:axPos val="b"/>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53369677"/>
        <c:crossesAt val="0"/>
        <c:crossBetween val="midCat"/>
      </c:valAx>
      <c:valAx>
        <c:axId val="53369677"/>
        <c:scaling>
          <c:orientation val="minMax"/>
          <c:max val="20"/>
          <c:min val="0"/>
        </c:scaling>
        <c:delete val="0"/>
        <c:axPos val="l"/>
        <c:majorGridlines>
          <c:spPr>
            <a:ln w="9360">
              <a:solidFill>
                <a:srgbClr val="878787"/>
              </a:solidFill>
              <a:round/>
            </a:ln>
          </c:spPr>
        </c:majorGridlines>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61927297"/>
        <c:crossesAt val="0"/>
        <c:crossBetween val="midCat"/>
      </c:valAx>
      <c:spPr>
        <a:solidFill>
          <a:srgbClr val="FFFFFF"/>
        </a:solidFill>
        <a:ln w="0">
          <a:noFill/>
        </a:ln>
      </c:spPr>
    </c:plotArea>
    <c:legend>
      <c:legendPos val="r"/>
      <c:layout>
        <c:manualLayout>
          <c:xMode val="edge"/>
          <c:yMode val="edge"/>
          <c:x val="0.0362666061087771"/>
          <c:y val="0.020849962984665"/>
        </c:manualLayout>
      </c:layout>
      <c:overlay val="0"/>
      <c:spPr>
        <a:noFill/>
        <a:ln w="0">
          <a:noFill/>
        </a:ln>
      </c:spPr>
      <c:txPr>
        <a:bodyPr/>
        <a:lstStyle/>
        <a:p>
          <a:pPr>
            <a:defRPr sz="1000" b="0" u="none" strike="noStrike">
              <a:solidFill>
                <a:srgbClr val="000000"/>
              </a:solidFill>
              <a:uFillTx/>
              <a:latin typeface="Calibri"/>
              <a:ea typeface="DejaVu Sans"/>
            </a:defRPr>
          </a:pPr>
        </a:p>
      </c:txPr>
    </c:legend>
    <c:plotVisOnly val="1"/>
    <c:dispBlanksAs val="gap"/>
  </c:chart>
  <c:spPr>
    <a:solidFill>
      <a:srgbClr val="FFFFFF"/>
    </a:solidFill>
    <a:ln w="9360">
      <a:solidFill>
        <a:srgbClr val="878787"/>
      </a:solidFill>
      <a:round/>
    </a:ln>
  </c:spPr>
</c:chartSpace>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xMode val="edge"/>
          <c:yMode val="edge"/>
          <c:x val="0.0198893754321272"/>
          <c:y val="0.00745699019435148"/>
          <c:w val="0.957156026734271"/>
          <c:h val="0.984968586694851"/>
        </c:manualLayout>
      </c:layout>
      <c:scatterChart>
        <c:scatterStyle val="lineMarker"/>
        <c:varyColors val="0"/>
        <c:ser>
          <c:idx val="0"/>
          <c:order val="0"/>
          <c:tx>
            <c:strRef>
              <c:f>Shaping!$A$4</c:f>
              <c:strCache>
                <c:ptCount val="1"/>
                <c:pt idx="0">
                  <c:v>MAF</c:v>
                </c:pt>
              </c:strCache>
            </c:strRef>
          </c:tx>
          <c:spPr>
            <a:solidFill>
              <a:srgbClr val="4A7EBB"/>
            </a:solidFill>
            <a:ln w="28440">
              <a:solidFill>
                <a:srgbClr val="4A7EBB"/>
              </a:solidFill>
              <a:round/>
            </a:ln>
          </c:spPr>
          <c:marker>
            <c:symbol val="diamond"/>
            <c:size val="5"/>
            <c:spPr>
              <a:solidFill>
                <a:srgbClr val="4A7EBB"/>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Shaping!$Z$3:$BC$3</c:f>
              <c:numCache>
                <c:formatCode>0.00</c:formatCode>
                <c:ptCount val="30"/>
                <c:pt idx="0">
                  <c:v>1.98880004882813</c:v>
                </c:pt>
                <c:pt idx="1">
                  <c:v>2.04999995231628</c:v>
                </c:pt>
                <c:pt idx="2">
                  <c:v>2.11520004272461</c:v>
                </c:pt>
                <c:pt idx="3">
                  <c:v>2.16820001602173</c:v>
                </c:pt>
                <c:pt idx="4">
                  <c:v>2.25300002098084</c:v>
                </c:pt>
                <c:pt idx="5">
                  <c:v>2.28489995002747</c:v>
                </c:pt>
                <c:pt idx="6">
                  <c:v>2.38770008087158</c:v>
                </c:pt>
                <c:pt idx="7">
                  <c:v>2.44899988174439</c:v>
                </c:pt>
                <c:pt idx="8">
                  <c:v>2.54819989204407</c:v>
                </c:pt>
                <c:pt idx="9">
                  <c:v>2.61999988555908</c:v>
                </c:pt>
                <c:pt idx="10">
                  <c:v>2.73270010948181</c:v>
                </c:pt>
                <c:pt idx="11">
                  <c:v>2.82739996910095</c:v>
                </c:pt>
                <c:pt idx="12">
                  <c:v>2.91249990463257</c:v>
                </c:pt>
                <c:pt idx="13">
                  <c:v>2.99000000953674</c:v>
                </c:pt>
                <c:pt idx="14">
                  <c:v>3.06539988517761</c:v>
                </c:pt>
                <c:pt idx="15">
                  <c:v>3.15079998970032</c:v>
                </c:pt>
                <c:pt idx="16">
                  <c:v>3.25999999046326</c:v>
                </c:pt>
                <c:pt idx="17">
                  <c:v>3.40799999237061</c:v>
                </c:pt>
                <c:pt idx="18">
                  <c:v>3.51999998092651</c:v>
                </c:pt>
                <c:pt idx="19">
                  <c:v>3.6136999130249</c:v>
                </c:pt>
                <c:pt idx="20">
                  <c:v>3.70980000495911</c:v>
                </c:pt>
                <c:pt idx="21">
                  <c:v>3.83999991416931</c:v>
                </c:pt>
                <c:pt idx="22">
                  <c:v>3.96770000457764</c:v>
                </c:pt>
                <c:pt idx="23">
                  <c:v>4.1100001335144</c:v>
                </c:pt>
                <c:pt idx="24">
                  <c:v>4.23379993438721</c:v>
                </c:pt>
                <c:pt idx="25">
                  <c:v>4.36899995803833</c:v>
                </c:pt>
                <c:pt idx="26">
                  <c:v>4.51999998092651</c:v>
                </c:pt>
                <c:pt idx="27">
                  <c:v>4.66709995269775</c:v>
                </c:pt>
                <c:pt idx="28">
                  <c:v>4.78999996185303</c:v>
                </c:pt>
                <c:pt idx="29">
                  <c:v>4.96339988708496</c:v>
                </c:pt>
              </c:numCache>
            </c:numRef>
          </c:xVal>
          <c:yVal>
            <c:numRef>
              <c:f>Shaping!$Z$4:$BC$4</c:f>
              <c:numCache>
                <c:formatCode>0.0000</c:formatCode>
                <c:ptCount val="30"/>
                <c:pt idx="0">
                  <c:v>20.1315269470215</c:v>
                </c:pt>
                <c:pt idx="1">
                  <c:v>22.0675048828125</c:v>
                </c:pt>
                <c:pt idx="2">
                  <c:v>24.2800731658936</c:v>
                </c:pt>
                <c:pt idx="3">
                  <c:v>27.4472961425781</c:v>
                </c:pt>
                <c:pt idx="4">
                  <c:v>30.9146862030029</c:v>
                </c:pt>
                <c:pt idx="5">
                  <c:v>33.7314414978027</c:v>
                </c:pt>
                <c:pt idx="6">
                  <c:v>37.5734634399414</c:v>
                </c:pt>
                <c:pt idx="7">
                  <c:v>42.2183265686035</c:v>
                </c:pt>
                <c:pt idx="8">
                  <c:v>47.372917175293</c:v>
                </c:pt>
                <c:pt idx="9">
                  <c:v>50.5260696411133</c:v>
                </c:pt>
                <c:pt idx="10">
                  <c:v>58.5389595031738</c:v>
                </c:pt>
                <c:pt idx="11">
                  <c:v>67.1706237792969</c:v>
                </c:pt>
                <c:pt idx="12">
                  <c:v>72.7894744873047</c:v>
                </c:pt>
                <c:pt idx="13">
                  <c:v>84.9892501831055</c:v>
                </c:pt>
                <c:pt idx="14">
                  <c:v>90.1319732666016</c:v>
                </c:pt>
                <c:pt idx="15">
                  <c:v>100.619087219238</c:v>
                </c:pt>
                <c:pt idx="16">
                  <c:v>114.256034851074</c:v>
                </c:pt>
                <c:pt idx="17">
                  <c:v>138.519149780273</c:v>
                </c:pt>
                <c:pt idx="18">
                  <c:v>165.102005004883</c:v>
                </c:pt>
                <c:pt idx="19">
                  <c:v>172.401794433594</c:v>
                </c:pt>
                <c:pt idx="20">
                  <c:v>177.898651123047</c:v>
                </c:pt>
                <c:pt idx="21">
                  <c:v>203.509963989258</c:v>
                </c:pt>
                <c:pt idx="22">
                  <c:v>232.278167724609</c:v>
                </c:pt>
                <c:pt idx="23">
                  <c:v>262.958587646484</c:v>
                </c:pt>
                <c:pt idx="24">
                  <c:v>291.804168701172</c:v>
                </c:pt>
                <c:pt idx="25">
                  <c:v>323.187774658203</c:v>
                </c:pt>
                <c:pt idx="26">
                  <c:v>356.452819824219</c:v>
                </c:pt>
                <c:pt idx="27">
                  <c:v>379.2666015625</c:v>
                </c:pt>
                <c:pt idx="28">
                  <c:v>404.859191894531</c:v>
                </c:pt>
                <c:pt idx="29">
                  <c:v>440.614990234375</c:v>
                </c:pt>
              </c:numCache>
            </c:numRef>
          </c:yVal>
          <c:smooth val="0"/>
        </c:ser>
        <c:ser>
          <c:idx val="1"/>
          <c:order val="1"/>
          <c:tx>
            <c:strRef>
              <c:f>Shaping!$A$20</c:f>
              <c:strCache>
                <c:ptCount val="1"/>
                <c:pt idx="0">
                  <c:v>reference</c:v>
                </c:pt>
              </c:strCache>
            </c:strRef>
          </c:tx>
          <c:spPr>
            <a:solidFill>
              <a:srgbClr val="196B24"/>
            </a:solidFill>
            <a:ln w="38160">
              <a:solidFill>
                <a:srgbClr val="196B24"/>
              </a:solidFill>
              <a:round/>
            </a:ln>
          </c:spPr>
          <c:marker>
            <c:symbol val="square"/>
            <c:size val="5"/>
            <c:spPr>
              <a:solidFill>
                <a:srgbClr val="196B24"/>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Shaping!$B$20:$BC$20</c:f>
              <c:numCache>
                <c:formatCode>[$-409]General</c:formatCode>
                <c:ptCount val="54"/>
                <c:pt idx="0">
                  <c:v>0.9200000166893</c:v>
                </c:pt>
                <c:pt idx="1">
                  <c:v>0.949999988079071</c:v>
                </c:pt>
                <c:pt idx="2">
                  <c:v>0.980000019073486</c:v>
                </c:pt>
                <c:pt idx="3">
                  <c:v>1.00999999046326</c:v>
                </c:pt>
                <c:pt idx="4">
                  <c:v>1.04999995231628</c:v>
                </c:pt>
                <c:pt idx="5">
                  <c:v>1.08000004291534</c:v>
                </c:pt>
                <c:pt idx="6">
                  <c:v>1.12000000476837</c:v>
                </c:pt>
                <c:pt idx="7">
                  <c:v>1.14999997615814</c:v>
                </c:pt>
                <c:pt idx="8">
                  <c:v>1.19000005722046</c:v>
                </c:pt>
                <c:pt idx="9">
                  <c:v>1.23000001907349</c:v>
                </c:pt>
                <c:pt idx="10">
                  <c:v>1.26999998092651</c:v>
                </c:pt>
                <c:pt idx="11">
                  <c:v>1.30999994277954</c:v>
                </c:pt>
                <c:pt idx="12">
                  <c:v>1.36000001430512</c:v>
                </c:pt>
                <c:pt idx="13">
                  <c:v>1.39999997615814</c:v>
                </c:pt>
                <c:pt idx="14">
                  <c:v>1.44000005722046</c:v>
                </c:pt>
                <c:pt idx="15">
                  <c:v>1.49000000953674</c:v>
                </c:pt>
                <c:pt idx="16">
                  <c:v>1.53999996185303</c:v>
                </c:pt>
                <c:pt idx="17">
                  <c:v>1.5900000333786</c:v>
                </c:pt>
                <c:pt idx="18">
                  <c:v>1.63999998569489</c:v>
                </c:pt>
                <c:pt idx="19">
                  <c:v>1.69000005722046</c:v>
                </c:pt>
                <c:pt idx="20">
                  <c:v>1.75</c:v>
                </c:pt>
                <c:pt idx="21">
                  <c:v>1.79999995231628</c:v>
                </c:pt>
                <c:pt idx="22">
                  <c:v>1.86000001430512</c:v>
                </c:pt>
                <c:pt idx="23">
                  <c:v>1.91999995708466</c:v>
                </c:pt>
                <c:pt idx="24">
                  <c:v>1.98000001907349</c:v>
                </c:pt>
                <c:pt idx="25">
                  <c:v>2.03999996185303</c:v>
                </c:pt>
                <c:pt idx="26">
                  <c:v>2.10999989509583</c:v>
                </c:pt>
                <c:pt idx="27">
                  <c:v>2.17000007629394</c:v>
                </c:pt>
                <c:pt idx="28">
                  <c:v>2.24000000953674</c:v>
                </c:pt>
                <c:pt idx="29">
                  <c:v>2.3199999332428</c:v>
                </c:pt>
                <c:pt idx="30">
                  <c:v>2.39000010490417</c:v>
                </c:pt>
                <c:pt idx="31">
                  <c:v>2.47000002861023</c:v>
                </c:pt>
                <c:pt idx="32">
                  <c:v>2.54999995231628</c:v>
                </c:pt>
                <c:pt idx="33">
                  <c:v>2.63000011444092</c:v>
                </c:pt>
                <c:pt idx="34">
                  <c:v>2.73710012435913</c:v>
                </c:pt>
                <c:pt idx="35">
                  <c:v>2.8199999332428</c:v>
                </c:pt>
                <c:pt idx="36">
                  <c:v>2.91000008583069</c:v>
                </c:pt>
                <c:pt idx="37">
                  <c:v>2.98000001907349</c:v>
                </c:pt>
                <c:pt idx="38">
                  <c:v>3.0699999332428</c:v>
                </c:pt>
                <c:pt idx="39">
                  <c:v>3.16000008583069</c:v>
                </c:pt>
                <c:pt idx="40">
                  <c:v>3.26999998092651</c:v>
                </c:pt>
                <c:pt idx="41">
                  <c:v>3.40000009536743</c:v>
                </c:pt>
                <c:pt idx="42">
                  <c:v>3.50999999046326</c:v>
                </c:pt>
                <c:pt idx="43">
                  <c:v>3.60999989509583</c:v>
                </c:pt>
                <c:pt idx="44">
                  <c:v>3.71000003814697</c:v>
                </c:pt>
                <c:pt idx="45">
                  <c:v>3.84999990463257</c:v>
                </c:pt>
                <c:pt idx="46">
                  <c:v>3.97499990463257</c:v>
                </c:pt>
                <c:pt idx="47">
                  <c:v>4.09999990463257</c:v>
                </c:pt>
                <c:pt idx="48">
                  <c:v>4.23999977111816</c:v>
                </c:pt>
                <c:pt idx="49">
                  <c:v>4.3600001335144</c:v>
                </c:pt>
                <c:pt idx="50">
                  <c:v>4.51000022888184</c:v>
                </c:pt>
                <c:pt idx="51">
                  <c:v>4.67000007629395</c:v>
                </c:pt>
                <c:pt idx="52">
                  <c:v>4.80000019073486</c:v>
                </c:pt>
                <c:pt idx="53">
                  <c:v>4.96000003814697</c:v>
                </c:pt>
              </c:numCache>
            </c:numRef>
          </c:xVal>
          <c:yVal>
            <c:numRef>
              <c:f>Shaping!$B$21:$BC$21</c:f>
              <c:numCache>
                <c:formatCode>[$-409]General</c:formatCode>
                <c:ptCount val="54"/>
                <c:pt idx="0">
                  <c:v>1.18353116512299</c:v>
                </c:pt>
                <c:pt idx="1">
                  <c:v>1.2837837934494</c:v>
                </c:pt>
                <c:pt idx="2">
                  <c:v>1.43429636955261</c:v>
                </c:pt>
                <c:pt idx="3">
                  <c:v>1.59366250038147</c:v>
                </c:pt>
                <c:pt idx="4">
                  <c:v>1.6990213394165</c:v>
                </c:pt>
                <c:pt idx="5">
                  <c:v>1.90088522434235</c:v>
                </c:pt>
                <c:pt idx="6">
                  <c:v>2.34268403053284</c:v>
                </c:pt>
                <c:pt idx="7">
                  <c:v>2.53694009780884</c:v>
                </c:pt>
                <c:pt idx="8">
                  <c:v>2.94034647941589</c:v>
                </c:pt>
                <c:pt idx="9">
                  <c:v>3.82613492012024</c:v>
                </c:pt>
                <c:pt idx="10">
                  <c:v>4.00314044952393</c:v>
                </c:pt>
                <c:pt idx="11">
                  <c:v>4.45313119888306</c:v>
                </c:pt>
                <c:pt idx="12">
                  <c:v>5.07407999038696</c:v>
                </c:pt>
                <c:pt idx="13">
                  <c:v>5.81383800506592</c:v>
                </c:pt>
                <c:pt idx="14">
                  <c:v>6.50241231918335</c:v>
                </c:pt>
                <c:pt idx="15">
                  <c:v>7.23009967803955</c:v>
                </c:pt>
                <c:pt idx="16">
                  <c:v>7.88663291931152</c:v>
                </c:pt>
                <c:pt idx="17">
                  <c:v>9.18105697631836</c:v>
                </c:pt>
                <c:pt idx="18">
                  <c:v>9.96461582183838</c:v>
                </c:pt>
                <c:pt idx="19">
                  <c:v>11.0771064758301</c:v>
                </c:pt>
                <c:pt idx="20">
                  <c:v>12.5194597244263</c:v>
                </c:pt>
                <c:pt idx="21">
                  <c:v>14.60618019104</c:v>
                </c:pt>
                <c:pt idx="22">
                  <c:v>15.4889888763428</c:v>
                </c:pt>
                <c:pt idx="23">
                  <c:v>17.1934223175049</c:v>
                </c:pt>
                <c:pt idx="24">
                  <c:v>19.4904289245606</c:v>
                </c:pt>
                <c:pt idx="25">
                  <c:v>21.8512001037598</c:v>
                </c:pt>
                <c:pt idx="26">
                  <c:v>24.1824588775635</c:v>
                </c:pt>
                <c:pt idx="27">
                  <c:v>26.7785739898682</c:v>
                </c:pt>
                <c:pt idx="28">
                  <c:v>30.1824131011963</c:v>
                </c:pt>
                <c:pt idx="29">
                  <c:v>31.9697685241699</c:v>
                </c:pt>
                <c:pt idx="30">
                  <c:v>36.794303894043</c:v>
                </c:pt>
                <c:pt idx="31">
                  <c:v>40.9753189086914</c:v>
                </c:pt>
                <c:pt idx="32">
                  <c:v>47.0529289245606</c:v>
                </c:pt>
                <c:pt idx="33">
                  <c:v>52.8632698059082</c:v>
                </c:pt>
                <c:pt idx="34">
                  <c:v>61.7400016784668</c:v>
                </c:pt>
                <c:pt idx="35">
                  <c:v>70.6900024414063</c:v>
                </c:pt>
                <c:pt idx="36">
                  <c:v>78.5400009155273</c:v>
                </c:pt>
                <c:pt idx="37">
                  <c:v>86.8399963378906</c:v>
                </c:pt>
                <c:pt idx="38">
                  <c:v>94.7363586425781</c:v>
                </c:pt>
                <c:pt idx="39">
                  <c:v>105.176803588867</c:v>
                </c:pt>
                <c:pt idx="40">
                  <c:v>118.453674316406</c:v>
                </c:pt>
                <c:pt idx="41">
                  <c:v>140</c:v>
                </c:pt>
                <c:pt idx="42">
                  <c:v>156.059204101563</c:v>
                </c:pt>
                <c:pt idx="43">
                  <c:v>170.820449829102</c:v>
                </c:pt>
                <c:pt idx="44">
                  <c:v>187.086959838867</c:v>
                </c:pt>
                <c:pt idx="45">
                  <c:v>209.804107666016</c:v>
                </c:pt>
                <c:pt idx="46">
                  <c:v>234.766662597656</c:v>
                </c:pt>
                <c:pt idx="47">
                  <c:v>262.958618164062</c:v>
                </c:pt>
                <c:pt idx="48">
                  <c:v>288.915008544922</c:v>
                </c:pt>
                <c:pt idx="49">
                  <c:v>316.819732666016</c:v>
                </c:pt>
                <c:pt idx="50">
                  <c:v>349.429290771484</c:v>
                </c:pt>
                <c:pt idx="51">
                  <c:v>379.2666015625</c:v>
                </c:pt>
                <c:pt idx="52">
                  <c:v>404.859222412109</c:v>
                </c:pt>
                <c:pt idx="53">
                  <c:v>440.614990234375</c:v>
                </c:pt>
              </c:numCache>
            </c:numRef>
          </c:yVal>
          <c:smooth val="0"/>
        </c:ser>
        <c:axId val="40016779"/>
        <c:axId val="35298901"/>
      </c:scatterChart>
      <c:valAx>
        <c:axId val="40016779"/>
        <c:scaling>
          <c:orientation val="minMax"/>
          <c:max val="4.96"/>
          <c:min val="1.9"/>
        </c:scaling>
        <c:delete val="0"/>
        <c:axPos val="b"/>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35298901"/>
        <c:crossesAt val="0"/>
        <c:crossBetween val="midCat"/>
      </c:valAx>
      <c:valAx>
        <c:axId val="35298901"/>
        <c:scaling>
          <c:orientation val="minMax"/>
          <c:max val="450"/>
          <c:min val="0"/>
        </c:scaling>
        <c:delete val="0"/>
        <c:axPos val="l"/>
        <c:majorGridlines>
          <c:spPr>
            <a:ln w="9360">
              <a:solidFill>
                <a:srgbClr val="878787"/>
              </a:solidFill>
              <a:round/>
            </a:ln>
          </c:spPr>
        </c:majorGridlines>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40016779"/>
        <c:crossesAt val="0"/>
        <c:crossBetween val="midCat"/>
      </c:valAx>
      <c:spPr>
        <a:solidFill>
          <a:srgbClr val="FFFFFF"/>
        </a:solidFill>
        <a:ln w="0">
          <a:noFill/>
        </a:ln>
      </c:spPr>
    </c:plotArea>
    <c:legend>
      <c:legendPos val="r"/>
      <c:layout>
        <c:manualLayout>
          <c:xMode val="edge"/>
          <c:yMode val="edge"/>
          <c:x val="0.0362545960973826"/>
          <c:y val="0.0209244532803181"/>
        </c:manualLayout>
      </c:layout>
      <c:overlay val="0"/>
      <c:spPr>
        <a:noFill/>
        <a:ln w="0">
          <a:noFill/>
        </a:ln>
      </c:spPr>
      <c:txPr>
        <a:bodyPr/>
        <a:lstStyle/>
        <a:p>
          <a:pPr>
            <a:defRPr sz="1000" b="0" u="none" strike="noStrike">
              <a:solidFill>
                <a:srgbClr val="000000"/>
              </a:solidFill>
              <a:uFillTx/>
              <a:latin typeface="Calibri"/>
              <a:ea typeface="DejaVu Sans"/>
            </a:defRPr>
          </a:pPr>
        </a:p>
      </c:txPr>
    </c:legend>
    <c:plotVisOnly val="1"/>
    <c:dispBlanksAs val="gap"/>
  </c:chart>
  <c:spPr>
    <a:solidFill>
      <a:srgbClr val="FFFFFF"/>
    </a:solidFill>
    <a:ln w="9360">
      <a:solidFill>
        <a:srgbClr val="878787"/>
      </a:solidFill>
      <a:round/>
    </a:ln>
  </c:spPr>
</c:chartSpace>
</file>

<file path=xl/charts/chart11.xml><?xml version="1.0" encoding="utf-8"?>
<c:chartSpace xmlns:c="http://schemas.openxmlformats.org/drawingml/2006/chart" xmlns:a="http://schemas.openxmlformats.org/drawingml/2006/main" xmlns:r="http://schemas.openxmlformats.org/officeDocument/2006/relationships">
  <c:lang val="en-US"/>
  <c:roundedCorners val="0"/>
  <c:chart>
    <c:autoTitleDeleted val="1"/>
    <c:plotArea>
      <c:layout>
        <c:manualLayout>
          <c:xMode val="edge"/>
          <c:yMode val="edge"/>
          <c:x val="0.0235646666212627"/>
          <c:y val="0.0181853734845522"/>
          <c:w val="0.956457581329883"/>
          <c:h val="0.973699648025029"/>
        </c:manualLayout>
      </c:layout>
      <c:scatterChart>
        <c:scatterStyle val="lineMarker"/>
        <c:varyColors val="0"/>
        <c:ser>
          <c:idx val="0"/>
          <c:order val="0"/>
          <c:tx>
            <c:strRef>
              <c:f>Shaping!$A$4</c:f>
              <c:strCache>
                <c:ptCount val="1"/>
                <c:pt idx="0">
                  <c:v>MAF</c:v>
                </c:pt>
              </c:strCache>
            </c:strRef>
          </c:tx>
          <c:spPr>
            <a:solidFill>
              <a:srgbClr val="4A7EBB"/>
            </a:solidFill>
            <a:ln w="28440">
              <a:solidFill>
                <a:srgbClr val="4A7EBB"/>
              </a:solidFill>
              <a:round/>
            </a:ln>
          </c:spPr>
          <c:marker>
            <c:symbol val="diamond"/>
            <c:size val="5"/>
            <c:spPr>
              <a:solidFill>
                <a:srgbClr val="4A7EBB"/>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Shaping!$B$3:$BC$3</c:f>
              <c:numCache>
                <c:formatCode>0.00</c:formatCode>
                <c:ptCount val="54"/>
                <c:pt idx="0">
                  <c:v>0.930000007152557</c:v>
                </c:pt>
                <c:pt idx="1">
                  <c:v>0.939999997615814</c:v>
                </c:pt>
                <c:pt idx="2">
                  <c:v>0.987100005149841</c:v>
                </c:pt>
                <c:pt idx="3">
                  <c:v>1</c:v>
                </c:pt>
                <c:pt idx="4">
                  <c:v>1.05869996547699</c:v>
                </c:pt>
                <c:pt idx="5">
                  <c:v>1.07270002365112</c:v>
                </c:pt>
                <c:pt idx="6">
                  <c:v>1.1282000541687</c:v>
                </c:pt>
                <c:pt idx="7">
                  <c:v>1.14030003547669</c:v>
                </c:pt>
                <c:pt idx="8">
                  <c:v>1.18040001392365</c:v>
                </c:pt>
                <c:pt idx="9">
                  <c:v>1.22010004520416</c:v>
                </c:pt>
                <c:pt idx="10">
                  <c:v>1.27999997138977</c:v>
                </c:pt>
                <c:pt idx="11">
                  <c:v>1.30209994316101</c:v>
                </c:pt>
                <c:pt idx="12">
                  <c:v>1.36280000209808</c:v>
                </c:pt>
                <c:pt idx="13">
                  <c:v>1.39479994773865</c:v>
                </c:pt>
                <c:pt idx="14">
                  <c:v>1.45000004768372</c:v>
                </c:pt>
                <c:pt idx="15">
                  <c:v>1.48010003566742</c:v>
                </c:pt>
                <c:pt idx="16">
                  <c:v>1.54729998111725</c:v>
                </c:pt>
                <c:pt idx="17">
                  <c:v>1.59300005435944</c:v>
                </c:pt>
                <c:pt idx="18">
                  <c:v>1.64170002937317</c:v>
                </c:pt>
                <c:pt idx="19">
                  <c:v>1.67999994754791</c:v>
                </c:pt>
                <c:pt idx="20">
                  <c:v>1.74510002136231</c:v>
                </c:pt>
                <c:pt idx="21">
                  <c:v>1.80999994277954</c:v>
                </c:pt>
                <c:pt idx="22">
                  <c:v>1.85000002384186</c:v>
                </c:pt>
                <c:pt idx="23">
                  <c:v>1.9099999666214</c:v>
                </c:pt>
                <c:pt idx="24">
                  <c:v>1.98880004882813</c:v>
                </c:pt>
                <c:pt idx="25">
                  <c:v>2.04999995231628</c:v>
                </c:pt>
                <c:pt idx="26">
                  <c:v>2.11520004272461</c:v>
                </c:pt>
                <c:pt idx="27">
                  <c:v>2.16820001602173</c:v>
                </c:pt>
                <c:pt idx="28">
                  <c:v>2.25300002098084</c:v>
                </c:pt>
                <c:pt idx="29">
                  <c:v>2.28489995002747</c:v>
                </c:pt>
                <c:pt idx="30">
                  <c:v>2.38770008087158</c:v>
                </c:pt>
                <c:pt idx="31">
                  <c:v>2.44899988174439</c:v>
                </c:pt>
                <c:pt idx="32">
                  <c:v>2.54819989204407</c:v>
                </c:pt>
                <c:pt idx="33">
                  <c:v>2.61999988555908</c:v>
                </c:pt>
                <c:pt idx="34">
                  <c:v>2.73270010948181</c:v>
                </c:pt>
                <c:pt idx="35">
                  <c:v>2.82739996910095</c:v>
                </c:pt>
                <c:pt idx="36">
                  <c:v>2.91249990463257</c:v>
                </c:pt>
                <c:pt idx="37">
                  <c:v>2.99000000953674</c:v>
                </c:pt>
                <c:pt idx="38">
                  <c:v>3.06539988517761</c:v>
                </c:pt>
                <c:pt idx="39">
                  <c:v>3.15079998970032</c:v>
                </c:pt>
                <c:pt idx="40">
                  <c:v>3.25999999046326</c:v>
                </c:pt>
                <c:pt idx="41">
                  <c:v>3.40799999237061</c:v>
                </c:pt>
                <c:pt idx="42">
                  <c:v>3.51999998092651</c:v>
                </c:pt>
                <c:pt idx="43">
                  <c:v>3.6136999130249</c:v>
                </c:pt>
                <c:pt idx="44">
                  <c:v>3.70980000495911</c:v>
                </c:pt>
                <c:pt idx="45">
                  <c:v>3.83999991416931</c:v>
                </c:pt>
                <c:pt idx="46">
                  <c:v>3.96770000457764</c:v>
                </c:pt>
                <c:pt idx="47">
                  <c:v>4.1100001335144</c:v>
                </c:pt>
                <c:pt idx="48">
                  <c:v>4.23379993438721</c:v>
                </c:pt>
                <c:pt idx="49">
                  <c:v>4.36899995803833</c:v>
                </c:pt>
                <c:pt idx="50">
                  <c:v>4.51999998092651</c:v>
                </c:pt>
                <c:pt idx="51">
                  <c:v>4.66709995269775</c:v>
                </c:pt>
                <c:pt idx="52">
                  <c:v>4.78999996185303</c:v>
                </c:pt>
                <c:pt idx="53">
                  <c:v>4.96339988708496</c:v>
                </c:pt>
              </c:numCache>
            </c:numRef>
          </c:xVal>
          <c:yVal>
            <c:numRef>
              <c:f>Shaping!$B$4:$BC$4</c:f>
              <c:numCache>
                <c:formatCode>0.0000</c:formatCode>
                <c:ptCount val="54"/>
                <c:pt idx="0">
                  <c:v>1.27519905567169</c:v>
                </c:pt>
                <c:pt idx="1">
                  <c:v>1.39710319042206</c:v>
                </c:pt>
                <c:pt idx="2">
                  <c:v>1.56088542938232</c:v>
                </c:pt>
                <c:pt idx="3">
                  <c:v>1.73435366153717</c:v>
                </c:pt>
                <c:pt idx="4">
                  <c:v>1.84894692897797</c:v>
                </c:pt>
                <c:pt idx="5">
                  <c:v>2.06866574287415</c:v>
                </c:pt>
                <c:pt idx="6">
                  <c:v>2.54945755004883</c:v>
                </c:pt>
                <c:pt idx="7">
                  <c:v>2.76079678535461</c:v>
                </c:pt>
                <c:pt idx="8">
                  <c:v>3.19979906082153</c:v>
                </c:pt>
                <c:pt idx="9">
                  <c:v>3.89676022529602</c:v>
                </c:pt>
                <c:pt idx="10">
                  <c:v>4.44396162033081</c:v>
                </c:pt>
                <c:pt idx="11">
                  <c:v>4.56136798858643</c:v>
                </c:pt>
                <c:pt idx="12">
                  <c:v>5.62495613098145</c:v>
                </c:pt>
                <c:pt idx="13">
                  <c:v>6.22537088394165</c:v>
                </c:pt>
                <c:pt idx="14">
                  <c:v>6.43613862991333</c:v>
                </c:pt>
                <c:pt idx="15">
                  <c:v>7.57886123657227</c:v>
                </c:pt>
                <c:pt idx="16">
                  <c:v>7.80774879455566</c:v>
                </c:pt>
                <c:pt idx="17">
                  <c:v>9.45653247833252</c:v>
                </c:pt>
                <c:pt idx="18">
                  <c:v>9.964599609375</c:v>
                </c:pt>
                <c:pt idx="19">
                  <c:v>11.0770998001099</c:v>
                </c:pt>
                <c:pt idx="20">
                  <c:v>12.5194997787476</c:v>
                </c:pt>
                <c:pt idx="21">
                  <c:v>15.0081624984741</c:v>
                </c:pt>
                <c:pt idx="22">
                  <c:v>15.6571998596191</c:v>
                </c:pt>
                <c:pt idx="23">
                  <c:v>17.5491237640381</c:v>
                </c:pt>
                <c:pt idx="24">
                  <c:v>20.1315269470215</c:v>
                </c:pt>
                <c:pt idx="25">
                  <c:v>22.0675048828125</c:v>
                </c:pt>
                <c:pt idx="26">
                  <c:v>24.2800731658936</c:v>
                </c:pt>
                <c:pt idx="27">
                  <c:v>27.4472961425781</c:v>
                </c:pt>
                <c:pt idx="28">
                  <c:v>30.9146862030029</c:v>
                </c:pt>
                <c:pt idx="29">
                  <c:v>33.7314414978027</c:v>
                </c:pt>
                <c:pt idx="30">
                  <c:v>37.5734634399414</c:v>
                </c:pt>
                <c:pt idx="31">
                  <c:v>42.2183265686035</c:v>
                </c:pt>
                <c:pt idx="32">
                  <c:v>47.372917175293</c:v>
                </c:pt>
                <c:pt idx="33">
                  <c:v>50.5260696411133</c:v>
                </c:pt>
                <c:pt idx="34">
                  <c:v>58.5389595031738</c:v>
                </c:pt>
                <c:pt idx="35">
                  <c:v>67.1706237792969</c:v>
                </c:pt>
                <c:pt idx="36">
                  <c:v>72.7894744873047</c:v>
                </c:pt>
                <c:pt idx="37">
                  <c:v>84.9892501831055</c:v>
                </c:pt>
                <c:pt idx="38">
                  <c:v>90.1319732666016</c:v>
                </c:pt>
                <c:pt idx="39">
                  <c:v>100.619087219238</c:v>
                </c:pt>
                <c:pt idx="40">
                  <c:v>114.256034851074</c:v>
                </c:pt>
                <c:pt idx="41">
                  <c:v>138.519149780273</c:v>
                </c:pt>
                <c:pt idx="42">
                  <c:v>165.102005004883</c:v>
                </c:pt>
                <c:pt idx="43">
                  <c:v>172.401794433594</c:v>
                </c:pt>
                <c:pt idx="44">
                  <c:v>177.898651123047</c:v>
                </c:pt>
                <c:pt idx="45">
                  <c:v>203.509963989258</c:v>
                </c:pt>
                <c:pt idx="46">
                  <c:v>232.278167724609</c:v>
                </c:pt>
                <c:pt idx="47">
                  <c:v>262.958587646484</c:v>
                </c:pt>
                <c:pt idx="48">
                  <c:v>291.804168701172</c:v>
                </c:pt>
                <c:pt idx="49">
                  <c:v>323.187774658203</c:v>
                </c:pt>
                <c:pt idx="50">
                  <c:v>356.452819824219</c:v>
                </c:pt>
                <c:pt idx="51">
                  <c:v>379.2666015625</c:v>
                </c:pt>
                <c:pt idx="52">
                  <c:v>404.859191894531</c:v>
                </c:pt>
                <c:pt idx="53">
                  <c:v>440.614990234375</c:v>
                </c:pt>
              </c:numCache>
            </c:numRef>
          </c:yVal>
          <c:smooth val="0"/>
        </c:ser>
        <c:ser>
          <c:idx val="1"/>
          <c:order val="1"/>
          <c:tx>
            <c:strRef>
              <c:f>Shaping!$A$9</c:f>
              <c:strCache>
                <c:ptCount val="1"/>
                <c:pt idx="0">
                  <c:v>Calculated MAF</c:v>
                </c:pt>
              </c:strCache>
            </c:strRef>
          </c:tx>
          <c:spPr>
            <a:solidFill>
              <a:srgbClr val="BE4B48"/>
            </a:solidFill>
            <a:ln w="28440">
              <a:solidFill>
                <a:srgbClr val="BE4B48"/>
              </a:solidFill>
              <a:round/>
            </a:ln>
          </c:spPr>
          <c:marker>
            <c:symbol val="square"/>
            <c:size val="5"/>
            <c:spPr>
              <a:solidFill>
                <a:srgbClr val="BE4B48"/>
              </a:solidFill>
            </c:spPr>
          </c:marker>
          <c:dLbls>
            <c:txPr>
              <a:bodyPr wrap="square"/>
              <a:lstStyle/>
              <a:p>
                <a:pPr>
                  <a:defRPr sz="1000" b="0" u="none" strike="noStrike">
                    <a:solidFill>
                      <a:srgbClr val="000000"/>
                    </a:solidFill>
                    <a:uFillTx/>
                    <a:latin typeface="Aptos Narrow"/>
                    <a:ea typeface="DejaVu Sans"/>
                  </a:defRPr>
                </a:pPr>
              </a:p>
            </c:txPr>
            <c:dLblPos val="r"/>
            <c:showLegendKey val="0"/>
            <c:showVal val="0"/>
            <c:showCatName val="0"/>
            <c:showSerName val="0"/>
            <c:showPercent val="0"/>
            <c:separator>; </c:separator>
            <c:showLeaderLines val="0"/>
            <c:extLst>
              <c:ext xmlns:c15="http://schemas.microsoft.com/office/drawing/2012/chart" uri="{CE6537A1-D6FC-4f65-9D91-7224C49458BB}">
                <c15:showLeaderLines val="0"/>
              </c:ext>
            </c:extLst>
          </c:dLbls>
          <c:xVal>
            <c:numRef>
              <c:f>Shaping!$Q$20:$AH$20</c:f>
              <c:numCache>
                <c:formatCode>[$-409]General</c:formatCode>
                <c:ptCount val="18"/>
                <c:pt idx="0">
                  <c:v>1.49000000953674</c:v>
                </c:pt>
                <c:pt idx="1">
                  <c:v>1.53999996185303</c:v>
                </c:pt>
                <c:pt idx="2">
                  <c:v>1.5900000333786</c:v>
                </c:pt>
                <c:pt idx="3">
                  <c:v>1.63999998569489</c:v>
                </c:pt>
                <c:pt idx="4">
                  <c:v>1.69000005722046</c:v>
                </c:pt>
                <c:pt idx="5">
                  <c:v>1.75</c:v>
                </c:pt>
                <c:pt idx="6">
                  <c:v>1.79999995231628</c:v>
                </c:pt>
                <c:pt idx="7">
                  <c:v>1.86000001430512</c:v>
                </c:pt>
                <c:pt idx="8">
                  <c:v>1.91999995708466</c:v>
                </c:pt>
                <c:pt idx="9">
                  <c:v>1.98000001907349</c:v>
                </c:pt>
                <c:pt idx="10">
                  <c:v>2.03999996185303</c:v>
                </c:pt>
                <c:pt idx="11">
                  <c:v>2.10999989509583</c:v>
                </c:pt>
                <c:pt idx="12">
                  <c:v>2.17000007629394</c:v>
                </c:pt>
                <c:pt idx="13">
                  <c:v>2.24000000953674</c:v>
                </c:pt>
                <c:pt idx="14">
                  <c:v>2.3199999332428</c:v>
                </c:pt>
                <c:pt idx="15">
                  <c:v>2.39000010490417</c:v>
                </c:pt>
                <c:pt idx="16">
                  <c:v>2.47000002861023</c:v>
                </c:pt>
                <c:pt idx="17">
                  <c:v>2.54999995231628</c:v>
                </c:pt>
              </c:numCache>
            </c:numRef>
          </c:xVal>
          <c:yVal>
            <c:numRef>
              <c:f>Shaping!$Q$21:$AH$21</c:f>
              <c:numCache>
                <c:formatCode>[$-409]General</c:formatCode>
                <c:ptCount val="18"/>
                <c:pt idx="0">
                  <c:v>7.23009967803955</c:v>
                </c:pt>
                <c:pt idx="1">
                  <c:v>7.88663291931152</c:v>
                </c:pt>
                <c:pt idx="2">
                  <c:v>9.18105697631836</c:v>
                </c:pt>
                <c:pt idx="3">
                  <c:v>9.96461582183838</c:v>
                </c:pt>
                <c:pt idx="4">
                  <c:v>11.0771064758301</c:v>
                </c:pt>
                <c:pt idx="5">
                  <c:v>12.5194597244263</c:v>
                </c:pt>
                <c:pt idx="6">
                  <c:v>14.60618019104</c:v>
                </c:pt>
                <c:pt idx="7">
                  <c:v>15.4889888763428</c:v>
                </c:pt>
                <c:pt idx="8">
                  <c:v>17.1934223175049</c:v>
                </c:pt>
                <c:pt idx="9">
                  <c:v>19.4904289245606</c:v>
                </c:pt>
                <c:pt idx="10">
                  <c:v>21.8512001037598</c:v>
                </c:pt>
                <c:pt idx="11">
                  <c:v>24.1824588775635</c:v>
                </c:pt>
                <c:pt idx="12">
                  <c:v>26.7785739898682</c:v>
                </c:pt>
                <c:pt idx="13">
                  <c:v>30.1824131011963</c:v>
                </c:pt>
                <c:pt idx="14">
                  <c:v>31.9697685241699</c:v>
                </c:pt>
                <c:pt idx="15">
                  <c:v>36.794303894043</c:v>
                </c:pt>
                <c:pt idx="16">
                  <c:v>40.9753189086914</c:v>
                </c:pt>
                <c:pt idx="17">
                  <c:v>47.0529289245606</c:v>
                </c:pt>
              </c:numCache>
            </c:numRef>
          </c:yVal>
          <c:smooth val="0"/>
        </c:ser>
        <c:axId val="49755643"/>
        <c:axId val="54715866"/>
      </c:scatterChart>
      <c:valAx>
        <c:axId val="49755643"/>
        <c:scaling>
          <c:orientation val="minMax"/>
          <c:max val="3.5"/>
          <c:min val="2.5"/>
        </c:scaling>
        <c:delete val="0"/>
        <c:axPos val="b"/>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54715866"/>
        <c:crossesAt val="0"/>
        <c:crossBetween val="midCat"/>
      </c:valAx>
      <c:valAx>
        <c:axId val="54715866"/>
        <c:scaling>
          <c:orientation val="minMax"/>
          <c:max val="130"/>
          <c:min val="50"/>
        </c:scaling>
        <c:delete val="0"/>
        <c:axPos val="l"/>
        <c:majorGridlines>
          <c:spPr>
            <a:ln w="9360">
              <a:solidFill>
                <a:srgbClr val="878787"/>
              </a:solidFill>
              <a:round/>
            </a:ln>
          </c:spPr>
        </c:majorGridlines>
        <c:numFmt formatCode="[$-409]General" sourceLinked="0"/>
        <c:majorTickMark val="none"/>
        <c:minorTickMark val="none"/>
        <c:tickLblPos val="nextTo"/>
        <c:spPr>
          <a:ln w="9360">
            <a:solidFill>
              <a:srgbClr val="878787"/>
            </a:solidFill>
            <a:round/>
          </a:ln>
        </c:spPr>
        <c:txPr>
          <a:bodyPr/>
          <a:lstStyle/>
          <a:p>
            <a:pPr>
              <a:defRPr sz="1000" b="0" u="none" strike="noStrike">
                <a:solidFill>
                  <a:srgbClr val="000000"/>
                </a:solidFill>
                <a:uFillTx/>
                <a:latin typeface="Calibri"/>
                <a:ea typeface="DejaVu Sans"/>
              </a:defRPr>
            </a:pPr>
          </a:p>
        </c:txPr>
        <c:crossAx val="49755643"/>
        <c:crossesAt val="0"/>
        <c:crossBetween val="midCat"/>
      </c:valAx>
      <c:spPr>
        <a:solidFill>
          <a:srgbClr val="FFFFFF"/>
        </a:solidFill>
        <a:ln w="0">
          <a:noFill/>
        </a:ln>
      </c:spPr>
    </c:plotArea>
    <c:legend>
      <c:legendPos val="r"/>
      <c:layout>
        <c:manualLayout>
          <c:xMode val="edge"/>
          <c:yMode val="edge"/>
          <c:x val="0.0362661334302854"/>
          <c:y val="0.020919888557603"/>
        </c:manualLayout>
      </c:layout>
      <c:overlay val="0"/>
      <c:spPr>
        <a:noFill/>
        <a:ln w="0">
          <a:noFill/>
        </a:ln>
      </c:spPr>
      <c:txPr>
        <a:bodyPr/>
        <a:lstStyle/>
        <a:p>
          <a:pPr>
            <a:defRPr sz="1000" b="0" u="none" strike="noStrike">
              <a:solidFill>
                <a:srgbClr val="000000"/>
              </a:solidFill>
              <a:uFillTx/>
              <a:latin typeface="Calibri"/>
              <a:ea typeface="DejaVu Sans"/>
            </a:defRPr>
          </a:pPr>
        </a:p>
      </c:txPr>
    </c:legend>
    <c:plotVisOnly val="1"/>
    <c:dispBlanksAs val="gap"/>
  </c:chart>
  <c:spPr>
    <a:solidFill>
      <a:srgbClr val="FFFFFF"/>
    </a:solidFill>
    <a:ln w="9360">
      <a:solidFill>
        <a:srgbClr val="878787"/>
      </a:solidFill>
      <a:round/>
    </a:ln>
  </c:spPr>
</c:chartSpace>
</file>

<file path=xl/charts/colors1.xml><?xml version="1.0" encoding="utf-8"?>
<cs:colorStyle xmlns:cs="http://schemas.microsoft.com/office/drawing/2012/chartStyle" xmlns:a="http://schemas.openxmlformats.org/drawingml/2006/main" meth="cycle" id="10">
  <a:schemeClr val="accent1"/>
</cs:colorStyle>
</file>

<file path=xl/charts/colors2.xml><?xml version="1.0" encoding="utf-8"?>
<cs:colorStyle xmlns:cs="http://schemas.microsoft.com/office/drawing/2012/chartStyle" xmlns:a="http://schemas.openxmlformats.org/drawingml/2006/main" meth="cycle" id="10">
  <a:schemeClr val="accent1"/>
</cs:colorStyle>
</file>

<file path=xl/charts/colors3.xml><?xml version="1.0" encoding="utf-8"?>
<cs:colorStyle xmlns:cs="http://schemas.microsoft.com/office/drawing/2012/chartStyle" xmlns:a="http://schemas.openxmlformats.org/drawingml/2006/main" meth="cycle" id="10">
  <a:schemeClr val="accent1"/>
</cs:colorStyle>
</file>

<file path=xl/charts/colors4.xml><?xml version="1.0" encoding="utf-8"?>
<cs:colorStyle xmlns:cs="http://schemas.microsoft.com/office/drawing/2012/chartStyle" xmlns:a="http://schemas.openxmlformats.org/drawingml/2006/main" meth="cycle" id="10">
  <a:schemeClr val="accent1"/>
</cs:colorStyle>
</file>

<file path=xl/charts/colors5.xml><?xml version="1.0" encoding="utf-8"?>
<cs:colorStyle xmlns:cs="http://schemas.microsoft.com/office/drawing/2012/chartStyle" xmlns:a="http://schemas.openxmlformats.org/drawingml/2006/main" meth="cycle" id="10">
  <a:schemeClr val="accent1"/>
</cs:colorStyle>
</file>

<file path=xl/charts/colors6.xml><?xml version="1.0" encoding="utf-8"?>
<cs:colorStyle xmlns:cs="http://schemas.microsoft.com/office/drawing/2012/chartStyle" xmlns:a="http://schemas.openxmlformats.org/drawingml/2006/main" meth="cycle" id="10">
  <a:schemeClr val="accent1"/>
</cs:colorStyle>
</file>

<file path=xl/charts/colors7.xml><?xml version="1.0" encoding="utf-8"?>
<cs:colorStyle xmlns:cs="http://schemas.microsoft.com/office/drawing/2012/chartStyle" xmlns:a="http://schemas.openxmlformats.org/drawingml/2006/main" meth="cycle" id="10">
  <a:schemeClr val="accent1"/>
</cs:colorStyle>
</file>

<file path=xl/charts/colors8.xml><?xml version="1.0" encoding="utf-8"?>
<cs:colorStyle xmlns:cs="http://schemas.microsoft.com/office/drawing/2012/chartStyle" xmlns:a="http://schemas.openxmlformats.org/drawingml/2006/main" meth="cycle" id="10">
  <a:schemeClr val="accent1"/>
</cs:colorStyle>
</file>

<file path=xl/charts/colors9.xml><?xml version="1.0" encoding="utf-8"?>
<cs:colorStyle xmlns:cs="http://schemas.microsoft.com/office/drawing/2012/chartStyle" xmlns:a="http://schemas.openxmlformats.org/drawingml/2006/main" meth="cycle" id="10">
  <a:schemeClr val="accent1"/>
</cs:colorStyle>
</file>

<file path=xl/charts/colors10.xml><?xml version="1.0" encoding="utf-8"?>
<cs:colorStyle xmlns:cs="http://schemas.microsoft.com/office/drawing/2012/chartStyle" xmlns:a="http://schemas.openxmlformats.org/drawingml/2006/main" meth="cycle" id="10">
  <a:schemeClr val="accent1"/>
</cs:colorStyle>
</file>

<file path=xl/charts/colors11.xml><?xml version="1.0" encoding="utf-8"?>
<cs:colorStyle xmlns:cs="http://schemas.microsoft.com/office/drawing/2012/chartStyle" xmlns:a="http://schemas.openxmlformats.org/drawingml/2006/main" meth="cycle" id="10">
  <a:schemeClr val="accent1"/>
</cs:colorStyle>
</file>

<file path=xl/charts/style1.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charts/style3.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charts/style11.xml><?xml version="1.0" encoding="utf-8"?>
<cs:chartStyle xmlns:cs="http://schemas.microsoft.com/office/drawing/2012/chartStyle" xmlns:a="http://schemas.openxmlformats.org/drawingml/2006/main" id="419">
  <cs:axisTitle>
    <cs:lnRef idx="0"/>
    <cs:fillRef idx="0"/>
    <cs:effectRef idx="0"/>
    <cs:fontRef idx="minor"/>
  </cs:axisTitle>
  <cs:categoryAxis>
    <cs:lnRef idx="0"/>
    <cs:fillRef idx="0"/>
    <cs:effectRef idx="0"/>
    <cs:fontRef idx="minor"/>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chartArea>
  <cs:dataLabel>
    <cs:lnRef idx="0"/>
    <cs:fillRef idx="0"/>
    <cs:effectRef idx="0"/>
    <cs:fontRef idx="minor"/>
  </cs:dataLabel>
  <cs:dataPoint>
    <cs:lnRef idx="0"/>
    <cs:fillRef idx="0">
      <cs:styleClr val="auto"/>
    </cs:fillRef>
    <cs:effectRef idx="0"/>
    <cs:fontRef idx="minor">
      <cs:schemeClr val="tx1"/>
    </cs:fontRef>
    <cs:spPr>
      <a:solidFill>
        <a:schemeClr val="phClr"/>
      </a:solidFill>
    </cs:spPr>
  </cs:dataPoint>
  <cs:dataPoint3D>
    <cs:lnRef idx="0"/>
    <cs:fillRef idx="0"/>
    <cs:effectRef idx="0"/>
    <cs:fontRef idx="minor"/>
  </cs:dataPoint3D>
  <cs:dataPointLine>
    <cs:lnRef idx="0"/>
    <cs:fillRef idx="0"/>
    <cs:effectRef idx="0"/>
    <cs:fontRef idx="minor"/>
  </cs:dataPointLine>
  <cs:dataPointMarker>
    <cs:lnRef idx="0"/>
    <cs:fillRef idx="0"/>
    <cs:effectRef idx="0"/>
    <cs:fontRef idx="minor"/>
  </cs:dataPointMarker>
  <cs:dataPointMarkerLayout>
    <cs:lnRef idx="0"/>
    <cs:fillRef idx="0"/>
    <cs:effectRef idx="0"/>
    <cs:fontRef idx="minor"/>
  </cs:dataPointMarkerLayout>
  <cs:dataPointWireframe>
    <cs:lnRef idx="0"/>
    <cs:fillRef idx="0"/>
    <cs:effectRef idx="0"/>
    <cs:fontRef idx="minor"/>
  </cs:dataPointWireframe>
  <cs:dataTable>
    <cs:lnRef idx="0"/>
    <cs:fillRef idx="0"/>
    <cs:effectRef idx="0"/>
    <cs:fontRef idx="minor"/>
  </cs:dataTable>
  <cs:downBar>
    <cs:lnRef idx="0"/>
    <cs:fillRef idx="0"/>
    <cs:effectRef idx="0"/>
    <cs:fontRef idx="minor"/>
  </cs:downBar>
  <cs:dropLine>
    <cs:lnRef idx="0"/>
    <cs:fillRef idx="0"/>
    <cs:effectRef idx="0"/>
    <cs:fontRef idx="minor"/>
  </cs:dropLine>
  <cs:errorBar>
    <cs:lnRef idx="0"/>
    <cs:fillRef idx="0"/>
    <cs:effectRef idx="0"/>
    <cs:fontRef idx="minor"/>
  </cs:errorBar>
  <cs:floor>
    <cs:lnRef idx="0"/>
    <cs:fillRef idx="0"/>
    <cs:effectRef idx="0"/>
    <cs:fontRef idx="minor"/>
  </cs:floor>
  <cs:gridlineMajor>
    <cs:lnRef idx="0"/>
    <cs:fillRef idx="0"/>
    <cs:effectRef idx="0"/>
    <cs:fontRef idx="minor"/>
  </cs:gridlineMajor>
  <cs:gridlineMinor>
    <cs:lnRef idx="0"/>
    <cs:fillRef idx="0"/>
    <cs:effectRef idx="0"/>
    <cs:fontRef idx="minor"/>
  </cs:gridlineMinor>
  <cs:hiLoLine>
    <cs:lnRef idx="0"/>
    <cs:fillRef idx="0"/>
    <cs:effectRef idx="0"/>
    <cs:fontRef idx="minor"/>
  </cs:hiLoLine>
  <cs:leaderLine>
    <cs:lnRef idx="0"/>
    <cs:fillRef idx="0"/>
    <cs:effectRef idx="0"/>
    <cs:fontRef idx="minor"/>
  </cs:leaderLine>
  <cs:legend>
    <cs:lnRef idx="0"/>
    <cs:fillRef idx="0"/>
    <cs:effectRef idx="0"/>
    <cs:fontRef idx="minor"/>
  </cs:legend>
  <cs:plotArea>
    <cs:lnRef idx="0"/>
    <cs:fillRef idx="0"/>
    <cs:effectRef idx="0"/>
    <cs:fontRef idx="minor"/>
  </cs:plotArea>
  <cs:plotArea3D>
    <cs:lnRef idx="0"/>
    <cs:fillRef idx="0"/>
    <cs:effectRef idx="0"/>
    <cs:fontRef idx="minor"/>
  </cs:plotArea3D>
  <cs:seriesAxis>
    <cs:lnRef idx="0"/>
    <cs:fillRef idx="0"/>
    <cs:effectRef idx="0"/>
    <cs:fontRef idx="minor"/>
  </cs:seriesAxis>
  <cs:seriesLine>
    <cs:lnRef idx="0"/>
    <cs:fillRef idx="0"/>
    <cs:effectRef idx="0"/>
    <cs:fontRef idx="minor"/>
  </cs:seriesLine>
  <cs:title>
    <cs:lnRef idx="0"/>
    <cs:fillRef idx="0"/>
    <cs:effectRef idx="0"/>
    <cs:fontRef idx="minor"/>
  </cs:title>
  <cs:trendline>
    <cs:lnRef idx="0"/>
    <cs:fillRef idx="0"/>
    <cs:effectRef idx="0"/>
    <cs:fontRef idx="minor"/>
  </cs:trendline>
  <cs:trendlineLabel>
    <cs:lnRef idx="0"/>
    <cs:fillRef idx="0"/>
    <cs:effectRef idx="0"/>
    <cs:fontRef idx="minor"/>
  </cs:trendlineLabel>
  <cs:upBar>
    <cs:lnRef idx="0"/>
    <cs:fillRef idx="0"/>
    <cs:effectRef idx="0"/>
    <cs:fontRef idx="minor"/>
  </cs:upBar>
  <cs:valueAxis>
    <cs:lnRef idx="0"/>
    <cs:fillRef idx="0"/>
    <cs:effectRef idx="0"/>
    <cs:fontRef idx="minor"/>
  </cs:valueAxis>
  <cs:wall>
    <cs:lnRef idx="0"/>
    <cs:fillRef idx="0"/>
    <cs:effectRef idx="0"/>
    <cs:fontRef idx="minor"/>
  </cs:wall>
</cs:chartStyle>
</file>

<file path=xl/drawings/_rels/drawing1.xml.rels><?xml version="1.0" encoding="UTF-8"?>
<Relationships xmlns="http://schemas.openxmlformats.org/package/2006/relationships"><Relationship Id="rId1" Type="http://schemas.openxmlformats.org/officeDocument/2006/relationships/chart" Target="../charts/chart1.xml"/>
</Relationships>
</file>

<file path=xl/drawings/_rels/drawing2.xml.rels><?xml version="1.0" encoding="UTF-8"?>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 Id="rId3" Type="http://schemas.openxmlformats.org/officeDocument/2006/relationships/chart" Target="../charts/chart4.xml"/>
</Relationships>
</file>

<file path=xl/drawings/_rels/drawing3.xml.rels><?xml version="1.0" encoding="UTF-8"?>
<Relationships xmlns="http://schemas.openxmlformats.org/package/2006/relationships"><Relationship Id="rId1" Type="http://schemas.openxmlformats.org/officeDocument/2006/relationships/chart" Target="../charts/chart5.xml"/>
</Relationships>
</file>

<file path=xl/drawings/_rels/drawing4.xml.rels><?xml version="1.0" encoding="UTF-8"?>
<Relationships xmlns="http://schemas.openxmlformats.org/package/2006/relationships"><Relationship Id="rId1" Type="http://schemas.openxmlformats.org/officeDocument/2006/relationships/chart" Target="../charts/chart6.xml"/>
</Relationships>
</file>

<file path=xl/drawings/_rels/drawing5.xml.rels><?xml version="1.0" encoding="UTF-8"?>
<Relationships xmlns="http://schemas.openxmlformats.org/package/2006/relationships"><Relationship Id="rId1" Type="http://schemas.openxmlformats.org/officeDocument/2006/relationships/chart" Target="../charts/chart7.xml"/>
</Relationships>
</file>

<file path=xl/drawings/_rels/drawing6.xml.rels><?xml version="1.0" encoding="UTF-8"?>
<Relationships xmlns="http://schemas.openxmlformats.org/package/2006/relationships"><Relationship Id="rId1" Type="http://schemas.openxmlformats.org/officeDocument/2006/relationships/chart" Target="../charts/chart8.xml"/>
</Relationships>
</file>

<file path=xl/drawings/_rels/drawing7.xml.rels><?xml version="1.0" encoding="UTF-8"?>
<Relationships xmlns="http://schemas.openxmlformats.org/package/2006/relationships"><Relationship Id="rId1" Type="http://schemas.openxmlformats.org/officeDocument/2006/relationships/chart" Target="../charts/chart9.xml"/>
</Relationships>
</file>

<file path=xl/drawings/_rels/drawing8.xml.rels><?xml version="1.0" encoding="UTF-8"?>
<Relationships xmlns="http://schemas.openxmlformats.org/package/2006/relationships"><Relationship Id="rId1" Type="http://schemas.openxmlformats.org/officeDocument/2006/relationships/chart" Target="../charts/chart10.xml"/>
</Relationships>
</file>

<file path=xl/drawings/_rels/drawing9.xml.rels><?xml version="1.0" encoding="UTF-8"?>
<Relationships xmlns="http://schemas.openxmlformats.org/package/2006/relationships"><Relationship Id="rId1" Type="http://schemas.openxmlformats.org/officeDocument/2006/relationships/chart" Target="../charts/chart11.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50</xdr:row>
      <xdr:rowOff>8280</xdr:rowOff>
    </xdr:from>
    <xdr:to>
      <xdr:col>25</xdr:col>
      <xdr:colOff>452160</xdr:colOff>
      <xdr:row>88</xdr:row>
      <xdr:rowOff>65880</xdr:rowOff>
    </xdr:to>
    <xdr:graphicFrame>
      <xdr:nvGraphicFramePr>
        <xdr:cNvPr id="1" name="Chart 1"/>
        <xdr:cNvGraphicFramePr/>
      </xdr:nvGraphicFramePr>
      <xdr:xfrm>
        <a:off x="0" y="9088920"/>
        <a:ext cx="15946200" cy="69588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945720</xdr:colOff>
      <xdr:row>23</xdr:row>
      <xdr:rowOff>146520</xdr:rowOff>
    </xdr:from>
    <xdr:to>
      <xdr:col>16</xdr:col>
      <xdr:colOff>331920</xdr:colOff>
      <xdr:row>62</xdr:row>
      <xdr:rowOff>9000</xdr:rowOff>
    </xdr:to>
    <xdr:graphicFrame>
      <xdr:nvGraphicFramePr>
        <xdr:cNvPr id="2" name="Chart 1"/>
        <xdr:cNvGraphicFramePr/>
      </xdr:nvGraphicFramePr>
      <xdr:xfrm>
        <a:off x="945720" y="4323600"/>
        <a:ext cx="10207080" cy="69451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192240</xdr:colOff>
      <xdr:row>23</xdr:row>
      <xdr:rowOff>131040</xdr:rowOff>
    </xdr:from>
    <xdr:to>
      <xdr:col>33</xdr:col>
      <xdr:colOff>132120</xdr:colOff>
      <xdr:row>62</xdr:row>
      <xdr:rowOff>31320</xdr:rowOff>
    </xdr:to>
    <xdr:graphicFrame>
      <xdr:nvGraphicFramePr>
        <xdr:cNvPr id="3" name="Chart 2"/>
        <xdr:cNvGraphicFramePr/>
      </xdr:nvGraphicFramePr>
      <xdr:xfrm>
        <a:off x="11633040" y="4308120"/>
        <a:ext cx="9856080" cy="69829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33</xdr:col>
      <xdr:colOff>555840</xdr:colOff>
      <xdr:row>23</xdr:row>
      <xdr:rowOff>119160</xdr:rowOff>
    </xdr:from>
    <xdr:to>
      <xdr:col>49</xdr:col>
      <xdr:colOff>445680</xdr:colOff>
      <xdr:row>61</xdr:row>
      <xdr:rowOff>126000</xdr:rowOff>
    </xdr:to>
    <xdr:graphicFrame>
      <xdr:nvGraphicFramePr>
        <xdr:cNvPr id="4" name="Chart 3"/>
        <xdr:cNvGraphicFramePr/>
      </xdr:nvGraphicFramePr>
      <xdr:xfrm>
        <a:off x="21912840" y="4296240"/>
        <a:ext cx="9806040" cy="690804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17640</xdr:colOff>
      <xdr:row>0</xdr:row>
      <xdr:rowOff>0</xdr:rowOff>
    </xdr:from>
    <xdr:to>
      <xdr:col>25</xdr:col>
      <xdr:colOff>384840</xdr:colOff>
      <xdr:row>34</xdr:row>
      <xdr:rowOff>43560</xdr:rowOff>
    </xdr:to>
    <xdr:graphicFrame>
      <xdr:nvGraphicFramePr>
        <xdr:cNvPr id="5" name="Chart 1"/>
        <xdr:cNvGraphicFramePr/>
      </xdr:nvGraphicFramePr>
      <xdr:xfrm>
        <a:off x="17640" y="0"/>
        <a:ext cx="15861240" cy="62182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70560</xdr:colOff>
      <xdr:row>0</xdr:row>
      <xdr:rowOff>17280</xdr:rowOff>
    </xdr:from>
    <xdr:to>
      <xdr:col>28</xdr:col>
      <xdr:colOff>107640</xdr:colOff>
      <xdr:row>37</xdr:row>
      <xdr:rowOff>180000</xdr:rowOff>
    </xdr:to>
    <xdr:graphicFrame>
      <xdr:nvGraphicFramePr>
        <xdr:cNvPr id="6" name="Chart 1"/>
        <xdr:cNvGraphicFramePr/>
      </xdr:nvGraphicFramePr>
      <xdr:xfrm>
        <a:off x="70560" y="17280"/>
        <a:ext cx="17390520" cy="68821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61560</xdr:colOff>
      <xdr:row>0</xdr:row>
      <xdr:rowOff>8640</xdr:rowOff>
    </xdr:from>
    <xdr:to>
      <xdr:col>28</xdr:col>
      <xdr:colOff>11880</xdr:colOff>
      <xdr:row>37</xdr:row>
      <xdr:rowOff>132480</xdr:rowOff>
    </xdr:to>
    <xdr:graphicFrame>
      <xdr:nvGraphicFramePr>
        <xdr:cNvPr id="7" name="Chart 1"/>
        <xdr:cNvGraphicFramePr/>
      </xdr:nvGraphicFramePr>
      <xdr:xfrm>
        <a:off x="61560" y="8640"/>
        <a:ext cx="17303760" cy="68432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30240</xdr:colOff>
      <xdr:row>0</xdr:row>
      <xdr:rowOff>28800</xdr:rowOff>
    </xdr:from>
    <xdr:to>
      <xdr:col>28</xdr:col>
      <xdr:colOff>59760</xdr:colOff>
      <xdr:row>37</xdr:row>
      <xdr:rowOff>161280</xdr:rowOff>
    </xdr:to>
    <xdr:graphicFrame>
      <xdr:nvGraphicFramePr>
        <xdr:cNvPr id="8" name="Chart 1"/>
        <xdr:cNvGraphicFramePr/>
      </xdr:nvGraphicFramePr>
      <xdr:xfrm>
        <a:off x="30240" y="28800"/>
        <a:ext cx="17382960" cy="685188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61920</xdr:rowOff>
    </xdr:from>
    <xdr:to>
      <xdr:col>25</xdr:col>
      <xdr:colOff>108720</xdr:colOff>
      <xdr:row>33</xdr:row>
      <xdr:rowOff>147600</xdr:rowOff>
    </xdr:to>
    <xdr:graphicFrame>
      <xdr:nvGraphicFramePr>
        <xdr:cNvPr id="9" name="Chart 1"/>
        <xdr:cNvGraphicFramePr/>
      </xdr:nvGraphicFramePr>
      <xdr:xfrm>
        <a:off x="0" y="61920"/>
        <a:ext cx="15602760" cy="6078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36000</xdr:rowOff>
    </xdr:from>
    <xdr:to>
      <xdr:col>25</xdr:col>
      <xdr:colOff>126000</xdr:colOff>
      <xdr:row>33</xdr:row>
      <xdr:rowOff>173520</xdr:rowOff>
    </xdr:to>
    <xdr:graphicFrame>
      <xdr:nvGraphicFramePr>
        <xdr:cNvPr id="10" name="Chart 1"/>
        <xdr:cNvGraphicFramePr/>
      </xdr:nvGraphicFramePr>
      <xdr:xfrm>
        <a:off x="0" y="36000"/>
        <a:ext cx="15620040" cy="61308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36000</xdr:colOff>
      <xdr:row>0</xdr:row>
      <xdr:rowOff>0</xdr:rowOff>
    </xdr:from>
    <xdr:to>
      <xdr:col>25</xdr:col>
      <xdr:colOff>399240</xdr:colOff>
      <xdr:row>40</xdr:row>
      <xdr:rowOff>99360</xdr:rowOff>
    </xdr:to>
    <xdr:graphicFrame>
      <xdr:nvGraphicFramePr>
        <xdr:cNvPr id="11" name="Chart 1"/>
        <xdr:cNvGraphicFramePr/>
      </xdr:nvGraphicFramePr>
      <xdr:xfrm>
        <a:off x="36000" y="0"/>
        <a:ext cx="15857280" cy="73638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
</Relationships>
</file>

<file path=xl/worksheets/_rels/sheet5.xml.rels><?xml version="1.0" encoding="UTF-8"?>
<Relationships xmlns="http://schemas.openxmlformats.org/package/2006/relationships"><Relationship Id="rId1" Type="http://schemas.openxmlformats.org/officeDocument/2006/relationships/drawing" Target="../drawings/drawing5.xml"/>
</Relationships>
</file>

<file path=xl/worksheets/_rels/sheet6.xml.rels><?xml version="1.0" encoding="UTF-8"?>
<Relationships xmlns="http://schemas.openxmlformats.org/package/2006/relationships"><Relationship Id="rId1" Type="http://schemas.openxmlformats.org/officeDocument/2006/relationships/drawing" Target="../drawings/drawing6.xml"/>
</Relationships>
</file>

<file path=xl/worksheets/_rels/sheet7.xml.rels><?xml version="1.0" encoding="UTF-8"?>
<Relationships xmlns="http://schemas.openxmlformats.org/package/2006/relationships"><Relationship Id="rId1" Type="http://schemas.openxmlformats.org/officeDocument/2006/relationships/drawing" Target="../drawings/drawing7.xml"/>
</Relationships>
</file>

<file path=xl/worksheets/_rels/sheet8.xml.rels><?xml version="1.0" encoding="UTF-8"?>
<Relationships xmlns="http://schemas.openxmlformats.org/package/2006/relationships"><Relationship Id="rId1" Type="http://schemas.openxmlformats.org/officeDocument/2006/relationships/drawing" Target="../drawings/drawing8.xml"/>
</Relationships>
</file>

<file path=xl/worksheets/_rels/sheet9.xml.rels><?xml version="1.0" encoding="UTF-8"?>
<Relationships xmlns="http://schemas.openxmlformats.org/package/2006/relationships"><Relationship Id="rId1" Type="http://schemas.openxmlformats.org/officeDocument/2006/relationships/drawing" Target="../drawings/drawing9.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C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171875" defaultRowHeight="14.3" customHeight="true" zeroHeight="false" outlineLevelRow="0" outlineLevelCol="0"/>
  <cols>
    <col collapsed="false" customWidth="true" hidden="false" outlineLevel="0" max="1025" min="1" style="1" width="8"/>
  </cols>
  <sheetData>
    <row r="1" customFormat="false" ht="14.3" hidden="false" customHeight="false" outlineLevel="0" collapsed="false">
      <c r="A1" s="2" t="s">
        <v>0</v>
      </c>
    </row>
    <row r="2" customFormat="false" ht="14.3" hidden="false" customHeight="false" outlineLevel="0" collapsed="false">
      <c r="A2" s="1" t="s">
        <v>1</v>
      </c>
      <c r="B2" s="1" t="s">
        <v>2</v>
      </c>
      <c r="E2" s="1" t="s">
        <v>3</v>
      </c>
    </row>
    <row r="4" customFormat="false" ht="14.3" hidden="false" customHeight="false" outlineLevel="0" collapsed="false">
      <c r="A4" s="2" t="s">
        <v>4</v>
      </c>
    </row>
    <row r="5" customFormat="false" ht="14.3" hidden="false" customHeight="false" outlineLevel="0" collapsed="false">
      <c r="A5" s="1" t="s">
        <v>5</v>
      </c>
      <c r="B5" s="1" t="s">
        <v>6</v>
      </c>
    </row>
    <row r="6" customFormat="false" ht="14.3" hidden="false" customHeight="false" outlineLevel="0" collapsed="false">
      <c r="A6" s="1" t="s">
        <v>5</v>
      </c>
    </row>
    <row r="7" customFormat="false" ht="14.3" hidden="false" customHeight="false" outlineLevel="0" collapsed="false">
      <c r="A7" s="3" t="n">
        <v>1</v>
      </c>
      <c r="B7" s="1" t="s">
        <v>7</v>
      </c>
    </row>
    <row r="8" customFormat="false" ht="14.3" hidden="false" customHeight="false" outlineLevel="0" collapsed="false">
      <c r="A8" s="3" t="n">
        <v>2</v>
      </c>
      <c r="B8" s="1" t="s">
        <v>8</v>
      </c>
    </row>
    <row r="9" customFormat="false" ht="14.3" hidden="false" customHeight="false" outlineLevel="0" collapsed="false">
      <c r="A9" s="3" t="n">
        <v>3</v>
      </c>
      <c r="B9" s="1" t="s">
        <v>9</v>
      </c>
    </row>
    <row r="10" customFormat="false" ht="14.3" hidden="false" customHeight="false" outlineLevel="0" collapsed="false">
      <c r="A10" s="3" t="n">
        <v>4</v>
      </c>
      <c r="B10" s="1" t="s">
        <v>10</v>
      </c>
    </row>
    <row r="11" customFormat="false" ht="14.3" hidden="false" customHeight="false" outlineLevel="0" collapsed="false">
      <c r="A11" s="3" t="n">
        <v>5</v>
      </c>
      <c r="B11" s="1" t="s">
        <v>11</v>
      </c>
    </row>
    <row r="12" customFormat="false" ht="14.3" hidden="false" customHeight="false" outlineLevel="0" collapsed="false">
      <c r="A12" s="3" t="n">
        <v>6</v>
      </c>
      <c r="B12" s="1" t="s">
        <v>12</v>
      </c>
    </row>
    <row r="13" customFormat="false" ht="14.3" hidden="false" customHeight="false" outlineLevel="0" collapsed="false">
      <c r="A13" s="3" t="n">
        <v>7</v>
      </c>
      <c r="B13" s="1" t="s">
        <v>13</v>
      </c>
    </row>
    <row r="14" customFormat="false" ht="14.3" hidden="false" customHeight="false" outlineLevel="0" collapsed="false">
      <c r="A14" s="3"/>
    </row>
    <row r="15" customFormat="false" ht="14.3" hidden="false" customHeight="false" outlineLevel="0" collapsed="false">
      <c r="A15" s="3" t="n">
        <v>7</v>
      </c>
      <c r="B15" s="1" t="s">
        <v>14</v>
      </c>
    </row>
    <row r="16" customFormat="false" ht="14.3" hidden="false" customHeight="false" outlineLevel="0" collapsed="false">
      <c r="A16" s="3"/>
      <c r="B16" s="1" t="s">
        <v>15</v>
      </c>
    </row>
    <row r="17" customFormat="false" ht="14.3" hidden="false" customHeight="false" outlineLevel="0" collapsed="false">
      <c r="A17" s="3"/>
    </row>
    <row r="18" customFormat="false" ht="14.3" hidden="false" customHeight="false" outlineLevel="0" collapsed="false">
      <c r="A18" s="3" t="n">
        <v>8</v>
      </c>
      <c r="B18" s="1" t="s">
        <v>16</v>
      </c>
    </row>
    <row r="21" customFormat="false" ht="14.3" hidden="false" customHeight="false" outlineLevel="0" collapsed="false">
      <c r="A21" s="2" t="s">
        <v>17</v>
      </c>
    </row>
    <row r="23" customFormat="false" ht="14.3" hidden="false" customHeight="false" outlineLevel="0" collapsed="false">
      <c r="A23" s="1" t="s">
        <v>18</v>
      </c>
    </row>
    <row r="24" customFormat="false" ht="14.3" hidden="false" customHeight="false" outlineLevel="0" collapsed="false">
      <c r="A24" s="1" t="s">
        <v>19</v>
      </c>
    </row>
    <row r="26" customFormat="false" ht="14.3" hidden="false" customHeight="false" outlineLevel="0" collapsed="false">
      <c r="A26" s="1" t="s">
        <v>20</v>
      </c>
    </row>
    <row r="28" customFormat="false" ht="14.3" hidden="false" customHeight="false" outlineLevel="0" collapsed="false">
      <c r="A28" s="1" t="s">
        <v>21</v>
      </c>
    </row>
    <row r="30" customFormat="false" ht="14.3" hidden="false" customHeight="false" outlineLevel="0" collapsed="false">
      <c r="A30" s="1" t="s">
        <v>22</v>
      </c>
    </row>
    <row r="33" customFormat="false" ht="14.3" hidden="false" customHeight="false" outlineLevel="0" collapsed="false">
      <c r="A33" s="1" t="s">
        <v>23</v>
      </c>
    </row>
    <row r="34" customFormat="false" ht="14.3" hidden="false" customHeight="false" outlineLevel="0" collapsed="false">
      <c r="A34" s="1" t="n">
        <v>1</v>
      </c>
      <c r="B34" s="1" t="s">
        <v>24</v>
      </c>
    </row>
    <row r="35" customFormat="false" ht="14.3" hidden="false" customHeight="false" outlineLevel="0" collapsed="false">
      <c r="A35" s="1" t="n">
        <v>21</v>
      </c>
      <c r="B35" s="1" t="s">
        <v>25</v>
      </c>
    </row>
    <row r="36" customFormat="false" ht="14.3" hidden="false" customHeight="false" outlineLevel="0" collapsed="false">
      <c r="A36" s="1" t="n">
        <v>22</v>
      </c>
      <c r="B36" s="1" t="s">
        <v>26</v>
      </c>
    </row>
    <row r="48" customFormat="false" ht="14.3" hidden="false" customHeight="false" outlineLevel="0" collapsed="false">
      <c r="B48" s="1" t="n">
        <v>0.8984375</v>
      </c>
      <c r="C48" s="1" t="n">
        <v>0.9375</v>
      </c>
      <c r="D48" s="1" t="n">
        <v>0.9765625</v>
      </c>
      <c r="E48" s="1" t="n">
        <v>1.015625</v>
      </c>
      <c r="F48" s="1" t="n">
        <v>1.0546875</v>
      </c>
      <c r="G48" s="1" t="n">
        <v>1.09375</v>
      </c>
      <c r="H48" s="1" t="n">
        <v>1.1328125</v>
      </c>
      <c r="I48" s="1" t="n">
        <v>1.171875</v>
      </c>
      <c r="J48" s="1" t="n">
        <v>1.2109375</v>
      </c>
      <c r="K48" s="1" t="n">
        <v>1.25</v>
      </c>
      <c r="L48" s="1" t="n">
        <v>1.2890625</v>
      </c>
      <c r="M48" s="1" t="n">
        <v>1.328125</v>
      </c>
      <c r="N48" s="1" t="n">
        <v>1.3671875</v>
      </c>
      <c r="O48" s="1" t="n">
        <v>1.40625</v>
      </c>
      <c r="P48" s="1" t="n">
        <v>1.484375</v>
      </c>
      <c r="Q48" s="1" t="n">
        <v>1.5625</v>
      </c>
      <c r="R48" s="1" t="n">
        <v>1.640625</v>
      </c>
      <c r="S48" s="1" t="n">
        <v>1.71875</v>
      </c>
      <c r="T48" s="1" t="n">
        <v>1.796875</v>
      </c>
      <c r="U48" s="1" t="n">
        <v>1.875</v>
      </c>
      <c r="V48" s="1" t="n">
        <v>1.953125</v>
      </c>
      <c r="W48" s="1" t="n">
        <v>2.03125</v>
      </c>
      <c r="X48" s="1" t="n">
        <v>2.109375</v>
      </c>
      <c r="Y48" s="1" t="n">
        <v>2.1875</v>
      </c>
      <c r="Z48" s="1" t="n">
        <v>2.2265625</v>
      </c>
      <c r="AA48" s="1" t="n">
        <v>2.34375</v>
      </c>
      <c r="AB48" s="1" t="n">
        <v>2.421875</v>
      </c>
      <c r="AC48" s="1" t="n">
        <v>2.5390625</v>
      </c>
      <c r="AD48" s="1" t="n">
        <v>2.65625</v>
      </c>
      <c r="AE48" s="1" t="n">
        <v>2.7734375</v>
      </c>
      <c r="AF48" s="1" t="n">
        <v>2.890625</v>
      </c>
      <c r="AG48" s="1" t="n">
        <v>3.0078125</v>
      </c>
      <c r="AH48" s="1" t="n">
        <v>3.125</v>
      </c>
      <c r="AI48" s="1" t="n">
        <v>3.2421875</v>
      </c>
      <c r="AJ48" s="1" t="n">
        <v>3.359375</v>
      </c>
      <c r="AK48" s="1" t="n">
        <v>3.4765625</v>
      </c>
      <c r="AL48" s="1" t="n">
        <v>3.59375</v>
      </c>
      <c r="AM48" s="1" t="n">
        <v>3.7109375</v>
      </c>
      <c r="AN48" s="1" t="n">
        <v>3.828125</v>
      </c>
      <c r="AO48" s="1" t="n">
        <v>3.9453125</v>
      </c>
      <c r="AP48" s="1" t="n">
        <v>4.0625</v>
      </c>
      <c r="AQ48" s="1" t="n">
        <v>4.1796875</v>
      </c>
      <c r="AR48" s="1" t="n">
        <v>4.296875</v>
      </c>
      <c r="AS48" s="1" t="n">
        <v>4.4140625</v>
      </c>
      <c r="AT48" s="1" t="n">
        <v>4.4921875</v>
      </c>
      <c r="AU48" s="1" t="n">
        <v>4.5703125</v>
      </c>
      <c r="AV48" s="1" t="n">
        <v>4.609375</v>
      </c>
      <c r="AW48" s="1" t="n">
        <v>4.6484375</v>
      </c>
      <c r="AX48" s="1" t="n">
        <v>4.6875</v>
      </c>
      <c r="AY48" s="1" t="n">
        <v>4.7265625</v>
      </c>
      <c r="AZ48" s="1" t="n">
        <v>4.8046875</v>
      </c>
      <c r="BA48" s="1" t="n">
        <v>4.8828125</v>
      </c>
      <c r="BB48" s="1" t="n">
        <v>4.9609375</v>
      </c>
      <c r="BC48" s="1" t="n">
        <v>5</v>
      </c>
    </row>
    <row r="49" customFormat="false" ht="14.3" hidden="false" customHeight="false" outlineLevel="0" collapsed="false">
      <c r="B49" s="1" t="n">
        <v>1.1599999666214</v>
      </c>
      <c r="C49" s="1" t="n">
        <v>1.44425535202026</v>
      </c>
      <c r="D49" s="1" t="n">
        <v>1.65426504611969</v>
      </c>
      <c r="E49" s="1" t="n">
        <v>1.88904738426209</v>
      </c>
      <c r="F49" s="1" t="n">
        <v>2.10114598274231</v>
      </c>
      <c r="G49" s="1" t="n">
        <v>2.37272810935974</v>
      </c>
      <c r="H49" s="1" t="n">
        <v>2.66793704032898</v>
      </c>
      <c r="I49" s="1" t="n">
        <v>2.98871183395386</v>
      </c>
      <c r="J49" s="1" t="n">
        <v>3.33700799942017</v>
      </c>
      <c r="K49" s="1" t="n">
        <v>3.66684937477112</v>
      </c>
      <c r="L49" s="1" t="n">
        <v>4.04998016357422</v>
      </c>
      <c r="M49" s="1" t="n">
        <v>4.44971513748169</v>
      </c>
      <c r="N49" s="1" t="n">
        <v>4.91568946838379</v>
      </c>
      <c r="O49" s="1" t="n">
        <v>5.4182276725769</v>
      </c>
      <c r="P49" s="1" t="n">
        <v>6.82961225509644</v>
      </c>
      <c r="Q49" s="1" t="n">
        <v>7.8258261680603</v>
      </c>
      <c r="R49" s="1" t="n">
        <v>9.12467098236084</v>
      </c>
      <c r="S49" s="1" t="n">
        <v>10.4926776885986</v>
      </c>
      <c r="T49" s="1" t="n">
        <v>12.2875146865845</v>
      </c>
      <c r="U49" s="1" t="n">
        <v>14.289026260376</v>
      </c>
      <c r="V49" s="1" t="n">
        <v>16.5720252990723</v>
      </c>
      <c r="W49" s="1" t="n">
        <v>18.858325958252</v>
      </c>
      <c r="X49" s="1" t="n">
        <v>21.2241973876953</v>
      </c>
      <c r="Y49" s="1" t="n">
        <v>24.2323207855225</v>
      </c>
      <c r="Z49" s="1" t="n">
        <v>25.4456348419189</v>
      </c>
      <c r="AA49" s="1" t="n">
        <v>29.6949005126953</v>
      </c>
      <c r="AB49" s="1" t="n">
        <v>33.6184234619141</v>
      </c>
      <c r="AC49" s="1" t="n">
        <v>37.6645584106445</v>
      </c>
      <c r="AD49" s="1" t="n">
        <v>43.1245307922363</v>
      </c>
      <c r="AE49" s="1" t="n">
        <v>48.9657783508301</v>
      </c>
      <c r="AF49" s="1" t="n">
        <v>54.5743255615234</v>
      </c>
      <c r="AG49" s="1" t="n">
        <v>66.8690643310547</v>
      </c>
      <c r="AH49" s="1" t="n">
        <v>73.3235473632813</v>
      </c>
      <c r="AI49" s="1" t="n">
        <v>82.8436279296875</v>
      </c>
      <c r="AJ49" s="1" t="n">
        <v>91.2970962524414</v>
      </c>
      <c r="AK49" s="1" t="n">
        <v>101.548637390137</v>
      </c>
      <c r="AL49" s="1" t="n">
        <v>118.302085876465</v>
      </c>
      <c r="AM49" s="1" t="n">
        <v>136.085006713867</v>
      </c>
      <c r="AN49" s="1" t="n">
        <v>152.766723632813</v>
      </c>
      <c r="AO49" s="1" t="n">
        <v>170.485946655273</v>
      </c>
      <c r="AP49" s="1" t="n">
        <v>193.171936035156</v>
      </c>
      <c r="AQ49" s="1" t="n">
        <v>209.727630615234</v>
      </c>
      <c r="AR49" s="1" t="n">
        <v>228.488204956055</v>
      </c>
      <c r="AS49" s="1" t="n">
        <v>248.467376708984</v>
      </c>
      <c r="AT49" s="1" t="n">
        <v>266.96435546875</v>
      </c>
      <c r="AU49" s="1" t="n">
        <v>285.545745849609</v>
      </c>
      <c r="AV49" s="1" t="n">
        <v>288.885559082031</v>
      </c>
      <c r="AW49" s="1" t="n">
        <v>292.225402832031</v>
      </c>
      <c r="AX49" s="1" t="n">
        <v>299.518402099609</v>
      </c>
      <c r="AY49" s="1" t="n">
        <v>307.676208496094</v>
      </c>
      <c r="AZ49" s="1" t="n">
        <v>327.466796875</v>
      </c>
      <c r="BA49" s="1" t="n">
        <v>347.696105957031</v>
      </c>
      <c r="BB49" s="1" t="n">
        <v>368.380279541016</v>
      </c>
      <c r="BC49" s="1" t="n">
        <v>378.840240478516</v>
      </c>
    </row>
    <row r="52" customFormat="false" ht="14.3" hidden="false" customHeight="false" outlineLevel="0" collapsed="false">
      <c r="B52" s="1" t="n">
        <v>0.8984375</v>
      </c>
      <c r="C52" s="1" t="n">
        <v>0.93</v>
      </c>
      <c r="D52" s="1" t="n">
        <v>0.96</v>
      </c>
      <c r="E52" s="1" t="n">
        <v>0.99</v>
      </c>
      <c r="F52" s="1" t="n">
        <v>1.025</v>
      </c>
      <c r="G52" s="1" t="n">
        <v>1.06</v>
      </c>
      <c r="H52" s="1" t="n">
        <v>1.1</v>
      </c>
      <c r="I52" s="1" t="n">
        <v>1.14</v>
      </c>
      <c r="J52" s="1" t="n">
        <v>1.18</v>
      </c>
      <c r="K52" s="1" t="n">
        <v>1.22</v>
      </c>
      <c r="L52" s="1" t="n">
        <v>1.26</v>
      </c>
      <c r="M52" s="1" t="n">
        <v>1.3</v>
      </c>
      <c r="N52" s="1" t="n">
        <v>1.35</v>
      </c>
      <c r="O52" s="1" t="n">
        <v>1.4</v>
      </c>
      <c r="P52" s="1" t="n">
        <v>1.45</v>
      </c>
      <c r="Q52" s="1" t="n">
        <v>1.5</v>
      </c>
      <c r="R52" s="1" t="n">
        <v>1.56</v>
      </c>
      <c r="S52" s="1" t="n">
        <v>1.61</v>
      </c>
      <c r="T52" s="1" t="n">
        <v>1.67</v>
      </c>
      <c r="U52" s="1" t="n">
        <v>1.73</v>
      </c>
      <c r="V52" s="1" t="n">
        <v>1.79</v>
      </c>
      <c r="W52" s="1" t="n">
        <v>1.85</v>
      </c>
      <c r="X52" s="1" t="n">
        <v>1.92</v>
      </c>
      <c r="Y52" s="1" t="n">
        <v>1.99</v>
      </c>
      <c r="Z52" s="1" t="n">
        <v>2.06</v>
      </c>
      <c r="AA52" s="1" t="n">
        <v>2.13</v>
      </c>
      <c r="AB52" s="1" t="n">
        <v>2.2</v>
      </c>
      <c r="AC52" s="1" t="n">
        <v>2.28</v>
      </c>
      <c r="AD52" s="1" t="n">
        <v>2.36</v>
      </c>
      <c r="AE52" s="1" t="n">
        <v>2.44</v>
      </c>
      <c r="AF52" s="1" t="n">
        <v>2.53</v>
      </c>
      <c r="AG52" s="1" t="n">
        <v>2.63</v>
      </c>
      <c r="AH52" s="1" t="n">
        <v>2.72</v>
      </c>
      <c r="AI52" s="1" t="n">
        <v>2.81</v>
      </c>
      <c r="AJ52" s="1" t="n">
        <v>2.9</v>
      </c>
      <c r="AK52" s="1" t="n">
        <v>3</v>
      </c>
      <c r="AL52" s="1" t="n">
        <v>3.1</v>
      </c>
      <c r="AM52" s="1" t="n">
        <v>3.2</v>
      </c>
      <c r="AN52" s="1" t="n">
        <v>3.32</v>
      </c>
      <c r="AO52" s="1" t="n">
        <v>3.45</v>
      </c>
      <c r="AP52" s="1" t="n">
        <v>3.58</v>
      </c>
      <c r="AQ52" s="1" t="n">
        <v>3.71</v>
      </c>
      <c r="AR52" s="1" t="n">
        <v>3.85</v>
      </c>
      <c r="AS52" s="1" t="n">
        <v>3.97</v>
      </c>
      <c r="AT52" s="1" t="n">
        <v>4.1</v>
      </c>
      <c r="AU52" s="1" t="n">
        <v>4.2</v>
      </c>
      <c r="AV52" s="1" t="n">
        <v>4.3</v>
      </c>
      <c r="AW52" s="1" t="n">
        <v>4.4</v>
      </c>
      <c r="AX52" s="1" t="n">
        <v>4.5</v>
      </c>
      <c r="AY52" s="1" t="n">
        <v>4.6</v>
      </c>
      <c r="AZ52" s="1" t="n">
        <v>4.7</v>
      </c>
      <c r="BA52" s="1" t="n">
        <v>4.8</v>
      </c>
      <c r="BB52" s="1" t="n">
        <v>4.9</v>
      </c>
      <c r="BC52" s="1" t="n">
        <v>5</v>
      </c>
    </row>
    <row r="53" customFormat="false" ht="14.3" hidden="false" customHeight="false" outlineLevel="0" collapsed="false">
      <c r="B53" s="1" t="n">
        <v>1.1599999666</v>
      </c>
      <c r="C53" s="1" t="n">
        <v>1.3726316266</v>
      </c>
      <c r="D53" s="1" t="n">
        <v>1.5449999729</v>
      </c>
      <c r="E53" s="1" t="n">
        <v>1.7099999213</v>
      </c>
      <c r="F53" s="1" t="n">
        <v>1.9250001391</v>
      </c>
      <c r="G53" s="1" t="n">
        <v>2.1675000849</v>
      </c>
      <c r="H53" s="1" t="n">
        <v>2.4449997544</v>
      </c>
      <c r="I53" s="1" t="n">
        <v>2.750000174</v>
      </c>
      <c r="J53" s="1" t="n">
        <v>3.0775001839</v>
      </c>
      <c r="K53" s="1" t="n">
        <v>3.4224997187</v>
      </c>
      <c r="L53" s="1" t="n">
        <v>3.7650001955</v>
      </c>
      <c r="M53" s="1" t="n">
        <v>4.1500002742</v>
      </c>
      <c r="N53" s="1" t="n">
        <v>4.6849996626</v>
      </c>
      <c r="O53" s="1" t="n">
        <v>5.2950003743</v>
      </c>
      <c r="P53" s="1" t="n">
        <v>6.2257143434</v>
      </c>
      <c r="Q53" s="1" t="n">
        <v>7.0799999237</v>
      </c>
      <c r="R53" s="1" t="n">
        <v>7.8300008464</v>
      </c>
      <c r="S53" s="1" t="n">
        <v>8.63625039</v>
      </c>
      <c r="T53" s="1" t="n">
        <v>9.633749812</v>
      </c>
      <c r="U53" s="1" t="n">
        <v>10.7149993658</v>
      </c>
      <c r="V53" s="1" t="n">
        <v>12.0650007963</v>
      </c>
      <c r="W53" s="1" t="n">
        <v>13.5400004834</v>
      </c>
      <c r="X53" s="1" t="n">
        <v>15.5928561312</v>
      </c>
      <c r="Y53" s="1" t="n">
        <v>17.7149998796</v>
      </c>
      <c r="Z53" s="1" t="n">
        <v>19.745001812</v>
      </c>
      <c r="AA53" s="1" t="n">
        <v>21.9725017926</v>
      </c>
      <c r="AB53" s="1" t="n">
        <v>24.3824989676</v>
      </c>
      <c r="AC53" s="1" t="n">
        <v>26.0557167489</v>
      </c>
      <c r="AD53" s="1" t="n">
        <v>30.6725023588</v>
      </c>
      <c r="AE53" s="1" t="n">
        <v>34.2933304914</v>
      </c>
      <c r="AF53" s="1" t="n">
        <v>37.3233340677</v>
      </c>
      <c r="AG53" s="1" t="n">
        <v>41.7549966657</v>
      </c>
      <c r="AH53" s="1" t="n">
        <v>46.3109077497</v>
      </c>
      <c r="AI53" s="1" t="n">
        <v>50.8366663403</v>
      </c>
      <c r="AJ53" s="1" t="n">
        <v>55.594990174</v>
      </c>
      <c r="AK53" s="1" t="n">
        <v>65.8450024923</v>
      </c>
      <c r="AL53" s="1" t="n">
        <v>71.7074959725</v>
      </c>
      <c r="AM53" s="1" t="n">
        <v>79.37817525</v>
      </c>
      <c r="AN53" s="1" t="n">
        <v>88.4800055202</v>
      </c>
      <c r="AO53" s="1" t="n">
        <v>98.98750407</v>
      </c>
      <c r="AP53" s="1" t="n">
        <v>116.7772873965</v>
      </c>
      <c r="AQ53" s="1" t="n">
        <v>136.0899906826</v>
      </c>
      <c r="AR53" s="1" t="n">
        <v>155.7233460241</v>
      </c>
      <c r="AS53" s="1" t="n">
        <v>174.6136346262</v>
      </c>
      <c r="AT53" s="1" t="n">
        <v>198.6900105159</v>
      </c>
      <c r="AU53" s="1" t="n">
        <v>212.8566814157</v>
      </c>
      <c r="AV53" s="1" t="n">
        <v>228.489975675</v>
      </c>
      <c r="AW53" s="1" t="n">
        <v>246.6536600192</v>
      </c>
      <c r="AX53" s="1" t="n">
        <v>269.283782549</v>
      </c>
      <c r="AY53" s="1" t="n">
        <v>288.0549959897</v>
      </c>
      <c r="AZ53" s="1" t="n">
        <v>301.5599802017</v>
      </c>
      <c r="BA53" s="1" t="n">
        <v>327.4699472973</v>
      </c>
      <c r="BB53" s="1" t="n">
        <v>352.8699857235</v>
      </c>
      <c r="BC53" s="1" t="n">
        <v>378.8399963379</v>
      </c>
    </row>
  </sheetData>
  <printOptions headings="false" gridLines="false" gridLinesSet="true" horizontalCentered="false" verticalCentered="false"/>
  <pageMargins left="0.7" right="0.7" top="1.14375" bottom="1.14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BL194"/>
  <sheetViews>
    <sheetView showFormulas="false" showGridLines="true" showRowColHeaders="true" showZeros="true" rightToLeft="false" tabSelected="true" showOutlineSymbols="true" defaultGridColor="true" view="normal" topLeftCell="I22" colorId="64" zoomScale="100" zoomScaleNormal="100" zoomScalePageLayoutView="100" workbookViewId="0">
      <selection pane="topLeft" activeCell="B4" activeCellId="0" sqref="B4"/>
    </sheetView>
  </sheetViews>
  <sheetFormatPr defaultColWidth="8.6171875" defaultRowHeight="14.3" customHeight="true" zeroHeight="false" outlineLevelRow="0" outlineLevelCol="0"/>
  <cols>
    <col collapsed="false" customWidth="true" hidden="false" outlineLevel="0" max="1" min="1" style="1" width="15.79"/>
    <col collapsed="false" customWidth="true" hidden="false" outlineLevel="0" max="2" min="2" style="1" width="11.89"/>
    <col collapsed="false" customWidth="true" hidden="false" outlineLevel="0" max="1025" min="3" style="1" width="8"/>
  </cols>
  <sheetData>
    <row r="2" customFormat="false" ht="14.3" hidden="false" customHeight="false" outlineLevel="0" collapsed="false">
      <c r="A2" s="4" t="s">
        <v>27</v>
      </c>
      <c r="B2" s="1" t="n">
        <v>0</v>
      </c>
      <c r="C2" s="1" t="n">
        <f aca="false">C3-B3</f>
        <v>0.00999999046325684</v>
      </c>
      <c r="D2" s="1" t="n">
        <f aca="false">D3-C3</f>
        <v>0.0471000075340271</v>
      </c>
      <c r="E2" s="1" t="n">
        <f aca="false">E3-D3</f>
        <v>0.0128999948501587</v>
      </c>
      <c r="F2" s="1" t="n">
        <f aca="false">F3-E3</f>
        <v>0.05869996547699</v>
      </c>
      <c r="G2" s="1" t="n">
        <f aca="false">G3-F3</f>
        <v>0.0140000581741331</v>
      </c>
      <c r="H2" s="1" t="n">
        <f aca="false">H3-G3</f>
        <v>0.0555000305175779</v>
      </c>
      <c r="I2" s="1" t="n">
        <f aca="false">I3-H3</f>
        <v>0.0120999813079841</v>
      </c>
      <c r="J2" s="1" t="n">
        <f aca="false">J3-I3</f>
        <v>0.04009997844696</v>
      </c>
      <c r="K2" s="1" t="n">
        <f aca="false">K3-J3</f>
        <v>0.039700031280518</v>
      </c>
      <c r="L2" s="1" t="n">
        <f aca="false">L3-K3</f>
        <v>0.0598999261856079</v>
      </c>
      <c r="M2" s="1" t="n">
        <f aca="false">M3-L3</f>
        <v>0.02209997177124</v>
      </c>
      <c r="N2" s="1" t="n">
        <f aca="false">N3-M3</f>
        <v>0.0607000589370721</v>
      </c>
      <c r="O2" s="1" t="n">
        <f aca="false">O3-N3</f>
        <v>0.031999945640564</v>
      </c>
      <c r="P2" s="1" t="n">
        <f aca="false">P3-O3</f>
        <v>0.055200099945069</v>
      </c>
      <c r="Q2" s="1" t="n">
        <f aca="false">Q3-P3</f>
        <v>0.0300999879837029</v>
      </c>
      <c r="R2" s="1" t="n">
        <f aca="false">R3-Q3</f>
        <v>0.06719994544983</v>
      </c>
      <c r="S2" s="1" t="n">
        <f aca="false">S3-R3</f>
        <v>0.0457000732421871</v>
      </c>
      <c r="T2" s="1" t="n">
        <f aca="false">T3-S3</f>
        <v>0.0486999750137329</v>
      </c>
      <c r="U2" s="1" t="n">
        <f aca="false">U3-T3</f>
        <v>0.0382999181747441</v>
      </c>
      <c r="V2" s="1" t="n">
        <f aca="false">V3-U3</f>
        <v>0.0651000738143919</v>
      </c>
      <c r="W2" s="1" t="n">
        <f aca="false">W3-V3</f>
        <v>0.0648999214172361</v>
      </c>
      <c r="X2" s="1" t="n">
        <f aca="false">X3-W3</f>
        <v>0.0400000810623169</v>
      </c>
      <c r="Y2" s="1" t="n">
        <f aca="false">Y3-X3</f>
        <v>0.059999942779541</v>
      </c>
      <c r="Z2" s="1" t="n">
        <f aca="false">Z3-Y3</f>
        <v>0.0788000822067261</v>
      </c>
      <c r="AA2" s="1" t="n">
        <f aca="false">AA3-Z3</f>
        <v>0.0611999034881592</v>
      </c>
      <c r="AB2" s="1" t="n">
        <f aca="false">AB3-AA3</f>
        <v>0.0652000904083248</v>
      </c>
      <c r="AC2" s="1" t="n">
        <f aca="false">AC3-AB3</f>
        <v>0.05299997329712</v>
      </c>
      <c r="AD2" s="1" t="n">
        <f aca="false">AD3-AC3</f>
        <v>0.084800004959106</v>
      </c>
      <c r="AE2" s="1" t="n">
        <f aca="false">AE3-AD3</f>
        <v>0.0318999290466309</v>
      </c>
      <c r="AF2" s="1" t="n">
        <f aca="false">AF3-AE3</f>
        <v>0.102800130844116</v>
      </c>
      <c r="AG2" s="1" t="n">
        <f aca="false">AG3-AF3</f>
        <v>0.0612998008728032</v>
      </c>
      <c r="AH2" s="1" t="n">
        <f aca="false">AH3-AG3</f>
        <v>0.0992000102996817</v>
      </c>
      <c r="AI2" s="1" t="n">
        <f aca="false">AI3-AH3</f>
        <v>0.0717999935150151</v>
      </c>
      <c r="AJ2" s="1" t="n">
        <f aca="false">AJ3-AI3</f>
        <v>0.11270022392273</v>
      </c>
      <c r="AK2" s="1" t="n">
        <f aca="false">AK3-AJ3</f>
        <v>0.0946998596191402</v>
      </c>
      <c r="AL2" s="1" t="n">
        <f aca="false">AL3-AK3</f>
        <v>0.0850999355316158</v>
      </c>
      <c r="AM2" s="1" t="n">
        <f aca="false">AM3-AL3</f>
        <v>0.0775001049041753</v>
      </c>
      <c r="AN2" s="1" t="n">
        <f aca="false">AN3-AM3</f>
        <v>0.0753998756408687</v>
      </c>
      <c r="AO2" s="1" t="n">
        <f aca="false">AO3-AN3</f>
        <v>0.0854001045227051</v>
      </c>
      <c r="AP2" s="1" t="n">
        <f aca="false">AP3-AO3</f>
        <v>0.10920000076294</v>
      </c>
      <c r="AQ2" s="1" t="n">
        <f aca="false">AQ3-AP3</f>
        <v>0.148000001907348</v>
      </c>
      <c r="AR2" s="1" t="n">
        <f aca="false">AR3-AQ3</f>
        <v>0.111999988555909</v>
      </c>
      <c r="AS2" s="1" t="n">
        <f aca="false">AS3-AR3</f>
        <v>0.0936999320983878</v>
      </c>
      <c r="AT2" s="1" t="n">
        <f aca="false">AT3-AS3</f>
        <v>0.0961000919342041</v>
      </c>
      <c r="AU2" s="1" t="n">
        <f aca="false">AU3-AT3</f>
        <v>0.130199909210206</v>
      </c>
      <c r="AV2" s="1" t="n">
        <f aca="false">AV3-AU3</f>
        <v>0.127700090408325</v>
      </c>
      <c r="AW2" s="1" t="n">
        <f aca="false">AW3-AV3</f>
        <v>0.142300128936767</v>
      </c>
      <c r="AX2" s="1" t="n">
        <f aca="false">AX3-AW3</f>
        <v>0.123799800872803</v>
      </c>
      <c r="AY2" s="1" t="n">
        <f aca="false">AY3-AX3</f>
        <v>0.135200023651123</v>
      </c>
      <c r="AZ2" s="1" t="n">
        <f aca="false">AZ3-AY3</f>
        <v>0.151000022888184</v>
      </c>
      <c r="BA2" s="1" t="n">
        <f aca="false">BA3-AZ3</f>
        <v>0.14709997177124</v>
      </c>
      <c r="BB2" s="1" t="n">
        <f aca="false">BB3-BA3</f>
        <v>0.122900009155273</v>
      </c>
      <c r="BC2" s="1" t="n">
        <f aca="false">BC3-BB3</f>
        <v>0.173399925231934</v>
      </c>
    </row>
    <row r="3" s="4" customFormat="true" ht="14.3" hidden="false" customHeight="false" outlineLevel="0" collapsed="false">
      <c r="A3" s="4" t="s">
        <v>28</v>
      </c>
      <c r="B3" s="5" t="n">
        <v>0.930000007152557</v>
      </c>
      <c r="C3" s="5" t="n">
        <v>0.939999997615814</v>
      </c>
      <c r="D3" s="5" t="n">
        <v>0.987100005149841</v>
      </c>
      <c r="E3" s="5" t="n">
        <v>1</v>
      </c>
      <c r="F3" s="5" t="n">
        <v>1.05869996547699</v>
      </c>
      <c r="G3" s="5" t="n">
        <v>1.07270002365112</v>
      </c>
      <c r="H3" s="5" t="n">
        <v>1.1282000541687</v>
      </c>
      <c r="I3" s="5" t="n">
        <v>1.14030003547669</v>
      </c>
      <c r="J3" s="5" t="n">
        <v>1.18040001392365</v>
      </c>
      <c r="K3" s="5" t="n">
        <v>1.22010004520416</v>
      </c>
      <c r="L3" s="5" t="n">
        <v>1.27999997138977</v>
      </c>
      <c r="M3" s="5" t="n">
        <v>1.30209994316101</v>
      </c>
      <c r="N3" s="5" t="n">
        <v>1.36280000209808</v>
      </c>
      <c r="O3" s="5" t="n">
        <v>1.39479994773865</v>
      </c>
      <c r="P3" s="5" t="n">
        <v>1.45000004768372</v>
      </c>
      <c r="Q3" s="5" t="n">
        <v>1.48010003566742</v>
      </c>
      <c r="R3" s="5" t="n">
        <v>1.54729998111725</v>
      </c>
      <c r="S3" s="5" t="n">
        <v>1.59300005435944</v>
      </c>
      <c r="T3" s="5" t="n">
        <v>1.64170002937317</v>
      </c>
      <c r="U3" s="5" t="n">
        <v>1.67999994754791</v>
      </c>
      <c r="V3" s="5" t="n">
        <v>1.74510002136231</v>
      </c>
      <c r="W3" s="5" t="n">
        <v>1.80999994277954</v>
      </c>
      <c r="X3" s="5" t="n">
        <v>1.85000002384186</v>
      </c>
      <c r="Y3" s="5" t="n">
        <v>1.9099999666214</v>
      </c>
      <c r="Z3" s="5" t="n">
        <v>1.98880004882813</v>
      </c>
      <c r="AA3" s="5" t="n">
        <v>2.04999995231628</v>
      </c>
      <c r="AB3" s="5" t="n">
        <v>2.11520004272461</v>
      </c>
      <c r="AC3" s="5" t="n">
        <v>2.16820001602173</v>
      </c>
      <c r="AD3" s="5" t="n">
        <v>2.25300002098084</v>
      </c>
      <c r="AE3" s="5" t="n">
        <v>2.28489995002747</v>
      </c>
      <c r="AF3" s="5" t="n">
        <v>2.38770008087158</v>
      </c>
      <c r="AG3" s="5" t="n">
        <v>2.44899988174439</v>
      </c>
      <c r="AH3" s="5" t="n">
        <v>2.54819989204407</v>
      </c>
      <c r="AI3" s="5" t="n">
        <v>2.61999988555908</v>
      </c>
      <c r="AJ3" s="5" t="n">
        <v>2.73270010948181</v>
      </c>
      <c r="AK3" s="5" t="n">
        <v>2.82739996910095</v>
      </c>
      <c r="AL3" s="5" t="n">
        <v>2.91249990463257</v>
      </c>
      <c r="AM3" s="5" t="n">
        <v>2.99000000953674</v>
      </c>
      <c r="AN3" s="5" t="n">
        <v>3.06539988517761</v>
      </c>
      <c r="AO3" s="5" t="n">
        <v>3.15079998970032</v>
      </c>
      <c r="AP3" s="5" t="n">
        <v>3.25999999046326</v>
      </c>
      <c r="AQ3" s="5" t="n">
        <v>3.40799999237061</v>
      </c>
      <c r="AR3" s="5" t="n">
        <v>3.51999998092651</v>
      </c>
      <c r="AS3" s="5" t="n">
        <v>3.6136999130249</v>
      </c>
      <c r="AT3" s="5" t="n">
        <v>3.70980000495911</v>
      </c>
      <c r="AU3" s="5" t="n">
        <v>3.83999991416931</v>
      </c>
      <c r="AV3" s="5" t="n">
        <v>3.96770000457764</v>
      </c>
      <c r="AW3" s="5" t="n">
        <v>4.1100001335144</v>
      </c>
      <c r="AX3" s="5" t="n">
        <v>4.23379993438721</v>
      </c>
      <c r="AY3" s="5" t="n">
        <v>4.36899995803833</v>
      </c>
      <c r="AZ3" s="5" t="n">
        <v>4.51999998092651</v>
      </c>
      <c r="BA3" s="5" t="n">
        <v>4.66709995269775</v>
      </c>
      <c r="BB3" s="5" t="n">
        <v>4.78999996185303</v>
      </c>
      <c r="BC3" s="5" t="n">
        <v>4.96339988708496</v>
      </c>
    </row>
    <row r="4" s="8" customFormat="true" ht="14.3" hidden="false" customHeight="false" outlineLevel="0" collapsed="false">
      <c r="A4" s="6" t="s">
        <v>29</v>
      </c>
      <c r="B4" s="7" t="n">
        <v>1.27519905567169</v>
      </c>
      <c r="C4" s="7" t="n">
        <v>1.39710319042206</v>
      </c>
      <c r="D4" s="7" t="n">
        <v>1.56088542938232</v>
      </c>
      <c r="E4" s="7" t="n">
        <v>1.73435366153717</v>
      </c>
      <c r="F4" s="7" t="n">
        <v>1.84894692897797</v>
      </c>
      <c r="G4" s="7" t="n">
        <v>2.06866574287415</v>
      </c>
      <c r="H4" s="7" t="n">
        <v>2.54945755004883</v>
      </c>
      <c r="I4" s="7" t="n">
        <v>2.76079678535461</v>
      </c>
      <c r="J4" s="7" t="n">
        <v>3.19979906082153</v>
      </c>
      <c r="K4" s="7" t="n">
        <v>3.89676022529602</v>
      </c>
      <c r="L4" s="7" t="n">
        <v>4.44396162033081</v>
      </c>
      <c r="M4" s="7" t="n">
        <v>4.56136798858643</v>
      </c>
      <c r="N4" s="7" t="n">
        <v>5.62495613098145</v>
      </c>
      <c r="O4" s="7" t="n">
        <v>6.22537088394165</v>
      </c>
      <c r="P4" s="7" t="n">
        <v>6.43613862991333</v>
      </c>
      <c r="Q4" s="7" t="n">
        <v>7.57886123657227</v>
      </c>
      <c r="R4" s="7" t="n">
        <v>7.80774879455566</v>
      </c>
      <c r="S4" s="7" t="n">
        <v>9.45653247833252</v>
      </c>
      <c r="T4" s="7" t="n">
        <v>9.964599609375</v>
      </c>
      <c r="U4" s="7" t="n">
        <v>11.0770998001099</v>
      </c>
      <c r="V4" s="7" t="n">
        <v>12.5194997787476</v>
      </c>
      <c r="W4" s="7" t="n">
        <v>15.0081624984741</v>
      </c>
      <c r="X4" s="7" t="n">
        <v>15.6571998596191</v>
      </c>
      <c r="Y4" s="7" t="n">
        <v>17.5491237640381</v>
      </c>
      <c r="Z4" s="7" t="n">
        <v>20.1315269470215</v>
      </c>
      <c r="AA4" s="7" t="n">
        <v>22.0675048828125</v>
      </c>
      <c r="AB4" s="7" t="n">
        <v>24.2800731658936</v>
      </c>
      <c r="AC4" s="7" t="n">
        <v>27.4472961425781</v>
      </c>
      <c r="AD4" s="7" t="n">
        <v>30.9146862030029</v>
      </c>
      <c r="AE4" s="7" t="n">
        <v>33.7314414978027</v>
      </c>
      <c r="AF4" s="7" t="n">
        <v>37.5734634399414</v>
      </c>
      <c r="AG4" s="7" t="n">
        <v>42.2183265686035</v>
      </c>
      <c r="AH4" s="7" t="n">
        <v>47.372917175293</v>
      </c>
      <c r="AI4" s="7" t="n">
        <v>50.5260696411133</v>
      </c>
      <c r="AJ4" s="7" t="n">
        <v>58.5389595031738</v>
      </c>
      <c r="AK4" s="7" t="n">
        <v>67.1706237792969</v>
      </c>
      <c r="AL4" s="7" t="n">
        <v>72.7894744873047</v>
      </c>
      <c r="AM4" s="7" t="n">
        <v>84.9892501831055</v>
      </c>
      <c r="AN4" s="7" t="n">
        <v>90.1319732666016</v>
      </c>
      <c r="AO4" s="7" t="n">
        <v>100.619087219238</v>
      </c>
      <c r="AP4" s="7" t="n">
        <v>114.256034851074</v>
      </c>
      <c r="AQ4" s="7" t="n">
        <v>138.519149780273</v>
      </c>
      <c r="AR4" s="7" t="n">
        <v>165.102005004883</v>
      </c>
      <c r="AS4" s="7" t="n">
        <v>172.401794433594</v>
      </c>
      <c r="AT4" s="7" t="n">
        <v>177.898651123047</v>
      </c>
      <c r="AU4" s="7" t="n">
        <v>203.509963989258</v>
      </c>
      <c r="AV4" s="7" t="n">
        <v>232.278167724609</v>
      </c>
      <c r="AW4" s="7" t="n">
        <v>262.958587646484</v>
      </c>
      <c r="AX4" s="7" t="n">
        <v>291.804168701172</v>
      </c>
      <c r="AY4" s="7" t="n">
        <v>323.187774658203</v>
      </c>
      <c r="AZ4" s="7" t="n">
        <v>356.452819824219</v>
      </c>
      <c r="BA4" s="7" t="n">
        <v>379.2666015625</v>
      </c>
      <c r="BB4" s="7" t="n">
        <v>404.859191894531</v>
      </c>
      <c r="BC4" s="7" t="n">
        <v>440.614990234375</v>
      </c>
    </row>
    <row r="5" s="9" customFormat="true" ht="14.3" hidden="false" customHeight="false" outlineLevel="0" collapsed="false">
      <c r="A5" s="9" t="s">
        <v>30</v>
      </c>
      <c r="C5" s="9" t="n">
        <f aca="false">(C4-B4)/(C3-B3)</f>
        <v>12.1904251007319</v>
      </c>
      <c r="D5" s="9" t="n">
        <f aca="false">(D4-C4)/(D3-C3)</f>
        <v>3.47732935800366</v>
      </c>
      <c r="E5" s="9" t="n">
        <f aca="false">(E4-D4)/(E3-D3)</f>
        <v>13.4471551477179</v>
      </c>
      <c r="F5" s="9" t="n">
        <f aca="false">(F4-E4)/(F3-E3)</f>
        <v>1.95218628340959</v>
      </c>
      <c r="G5" s="9" t="n">
        <f aca="false">(G4-F4)/(G3-F3)</f>
        <v>15.6941357788169</v>
      </c>
      <c r="H5" s="9" t="n">
        <f aca="false">(H4-G4)/(H3-G3)</f>
        <v>8.6629106811465</v>
      </c>
      <c r="I5" s="9" t="n">
        <f aca="false">(I4-H4)/(I3-H3)</f>
        <v>17.4660794861175</v>
      </c>
      <c r="J5" s="9" t="n">
        <f aca="false">(J4-I4)/(J3-I3)</f>
        <v>10.9476935516957</v>
      </c>
      <c r="K5" s="9" t="n">
        <f aca="false">(K4-J4)/(K3-J3)</f>
        <v>17.555683005633</v>
      </c>
      <c r="L5" s="9" t="n">
        <f aca="false">(L4-K4)/(L3-K3)</f>
        <v>9.13525992234471</v>
      </c>
      <c r="M5" s="9" t="n">
        <f aca="false">(M4-L4)/(M3-L3)</f>
        <v>5.31251213670789</v>
      </c>
      <c r="N5" s="9" t="n">
        <f aca="false">(N4-M4)/(N3-M3)</f>
        <v>17.5220281663589</v>
      </c>
      <c r="O5" s="9" t="n">
        <f aca="false">(O4-N4)/(O3-N3)</f>
        <v>18.7629929033099</v>
      </c>
      <c r="P5" s="9" t="n">
        <f aca="false">(P4-O4)/(P3-O3)</f>
        <v>3.81824935428414</v>
      </c>
      <c r="Q5" s="9" t="n">
        <f aca="false">(Q4-P4)/(Q3-P3)</f>
        <v>37.9642213570863</v>
      </c>
      <c r="R5" s="9" t="n">
        <f aca="false">(R4-Q4)/(R3-Q3)</f>
        <v>3.40606761584771</v>
      </c>
      <c r="S5" s="9" t="n">
        <f aca="false">(S4-R4)/(S3-R3)</f>
        <v>36.0783597662775</v>
      </c>
      <c r="T5" s="9" t="n">
        <f aca="false">(T4-S4)/(T3-S3)</f>
        <v>10.4325953124044</v>
      </c>
      <c r="U5" s="9" t="n">
        <f aca="false">(U4-T4)/(U3-T3)</f>
        <v>29.0470644260663</v>
      </c>
      <c r="V5" s="9" t="n">
        <f aca="false">(V4-U4)/(V3-U3)</f>
        <v>22.1566565769212</v>
      </c>
      <c r="W5" s="9" t="n">
        <f aca="false">(W4-V4)/(W3-V3)</f>
        <v>38.3461592153118</v>
      </c>
      <c r="X5" s="9" t="n">
        <f aca="false">(X4-W4)/(X3-W3)</f>
        <v>16.225901145897</v>
      </c>
      <c r="Y5" s="9" t="n">
        <f aca="false">(Y4-X4)/(Y3-X3)</f>
        <v>31.5320951449984</v>
      </c>
      <c r="Z5" s="9" t="n">
        <f aca="false">(Z4-Y4)/(Z3-Y3)</f>
        <v>32.7715798088719</v>
      </c>
      <c r="AA5" s="9" t="n">
        <f aca="false">(AA4-Z4)/(AA3-Z3)</f>
        <v>31.6336762878325</v>
      </c>
      <c r="AB5" s="9" t="n">
        <f aca="false">(AB4-AA4)/(AB3-AA3)</f>
        <v>33.935049310891</v>
      </c>
      <c r="AC5" s="9" t="n">
        <f aca="false">(AC4-AB4)/(AC3-AB3)</f>
        <v>59.758954196618</v>
      </c>
      <c r="AD5" s="9" t="n">
        <f aca="false">(AD4-AC4)/(AD3-AC3)</f>
        <v>40.8890313402331</v>
      </c>
      <c r="AE5" s="9" t="n">
        <f aca="false">(AE4-AD4)/(AE3-AD3)</f>
        <v>88.2997354220539</v>
      </c>
      <c r="AF5" s="9" t="n">
        <f aca="false">(AF4-AE4)/(AF3-AE3)</f>
        <v>37.3737067316056</v>
      </c>
      <c r="AG5" s="9" t="n">
        <f aca="false">(AG4-AF4)/(AG3-AF3)</f>
        <v>75.7728909805136</v>
      </c>
      <c r="AH5" s="9" t="n">
        <f aca="false">(AH4-AG4)/(AH3-AG3)</f>
        <v>51.9615934627175</v>
      </c>
      <c r="AI5" s="9" t="n">
        <f aca="false">(AI4-AH4)/(AI3-AH3)</f>
        <v>43.9157764709396</v>
      </c>
      <c r="AJ5" s="9" t="n">
        <f aca="false">(AJ4-AI4)/(AJ3-AI3)</f>
        <v>71.0991476605617</v>
      </c>
      <c r="AK5" s="9" t="n">
        <f aca="false">(AK4-AJ4)/(AK3-AJ3)</f>
        <v>91.1475931520649</v>
      </c>
      <c r="AL5" s="9" t="n">
        <f aca="false">(AL4-AK4)/(AL3-AK3)</f>
        <v>66.0264978217326</v>
      </c>
      <c r="AM5" s="9" t="n">
        <f aca="false">(AM4-AL4)/(AM3-AL3)</f>
        <v>157.416247511989</v>
      </c>
      <c r="AN5" s="9" t="n">
        <f aca="false">(AN4-AM4)/(AN3-AM3)</f>
        <v>68.2059889328067</v>
      </c>
      <c r="AO5" s="9" t="n">
        <f aca="false">(AO4-AN4)/(AO3-AN3)</f>
        <v>122.799778890769</v>
      </c>
      <c r="AP5" s="9" t="n">
        <f aca="false">(AP4-AO4)/(AP3-AO3)</f>
        <v>124.880471946517</v>
      </c>
      <c r="AQ5" s="9" t="n">
        <f aca="false">(AQ4-AP4)/(AQ3-AP3)</f>
        <v>163.939963625058</v>
      </c>
      <c r="AR5" s="9" t="n">
        <f aca="false">(AR4-AQ4)/(AR3-AQ3)</f>
        <v>237.346945900263</v>
      </c>
      <c r="AS5" s="9" t="n">
        <f aca="false">(AS4-AR4)/(AS3-AR3)</f>
        <v>77.9060268799981</v>
      </c>
      <c r="AT5" s="9" t="n">
        <f aca="false">(AT4-AS4)/(AT3-AS3)</f>
        <v>57.1992864816048</v>
      </c>
      <c r="AU5" s="9" t="n">
        <f aca="false">(AU4-AT4)/(AU3-AT3)</f>
        <v>196.707609256945</v>
      </c>
      <c r="AV5" s="9" t="n">
        <f aca="false">(AV4-AU4)/(AV3-AU3)</f>
        <v>225.279431231132</v>
      </c>
      <c r="AW5" s="9" t="n">
        <f aca="false">(AW4-AV4)/(AW3-AV3)</f>
        <v>215.603598894195</v>
      </c>
      <c r="AX5" s="9" t="n">
        <f aca="false">(AX4-AW4)/(AX3-AW3)</f>
        <v>233.001837251133</v>
      </c>
      <c r="AY5" s="9" t="n">
        <f aca="false">(AY4-AX4)/(AY3-AX3)</f>
        <v>232.12722238877</v>
      </c>
      <c r="AZ5" s="9" t="n">
        <f aca="false">(AZ4-AY4)/(AZ3-AY3)</f>
        <v>220.298278965485</v>
      </c>
      <c r="BA5" s="9" t="n">
        <f aca="false">(BA4-AZ4)/(BA3-AZ3)</f>
        <v>155.090320301078</v>
      </c>
      <c r="BB5" s="9" t="n">
        <f aca="false">(BB4-BA4)/(BB3-BA3)</f>
        <v>208.239124699309</v>
      </c>
      <c r="BC5" s="9" t="n">
        <f aca="false">(BC4-BB4)/(BC3-BB3)</f>
        <v>206.204231587863</v>
      </c>
    </row>
    <row r="6" s="9" customFormat="true" ht="14.3" hidden="false" customHeight="false" outlineLevel="0" collapsed="false">
      <c r="A6" s="9" t="s">
        <v>31</v>
      </c>
      <c r="D6" s="9" t="n">
        <f aca="false">(D5-C22)/(D3-C3)</f>
        <v>2.87838369050184</v>
      </c>
      <c r="E6" s="9" t="n">
        <v>13.5</v>
      </c>
      <c r="F6" s="9" t="n">
        <f aca="false">(F5-E5)/(F3-E3)</f>
        <v>-195.825819843357</v>
      </c>
      <c r="G6" s="9" t="n">
        <f aca="false">(G5-F5)/(G3-F3)</f>
        <v>981.563742413395</v>
      </c>
      <c r="H6" s="9" t="n">
        <f aca="false">(H5-G5)/(H3-G3)</f>
        <v>-126.688670836739</v>
      </c>
      <c r="I6" s="9" t="n">
        <f aca="false">(I5-H5)/(I3-H3)</f>
        <v>727.535735874427</v>
      </c>
      <c r="J6" s="9" t="n">
        <f aca="false">(J5-I5)/(J3-I3)</f>
        <v>-162.553352567101</v>
      </c>
      <c r="K6" s="9" t="n">
        <f aca="false">(K5-J5)/(K3-J3)</f>
        <v>166.447965928431</v>
      </c>
      <c r="L6" s="9" t="n">
        <f aca="false">(L5-K5)/(L3-K3)</f>
        <v>-140.574849077384</v>
      </c>
      <c r="M6" s="9" t="n">
        <f aca="false">(M5-L5)/(M3-L3)</f>
        <v>-172.975233869375</v>
      </c>
      <c r="N6" s="9" t="n">
        <f aca="false">(N5-M5)/(N3-M3)</f>
        <v>201.145044065091</v>
      </c>
      <c r="O6" s="9" t="n">
        <f aca="false">(O5-N5)/(O3-N3)</f>
        <v>38.7802139069259</v>
      </c>
      <c r="P6" s="9" t="n">
        <f aca="false">(P5-O5)/(P3-O3)</f>
        <v>-270.737617574926</v>
      </c>
      <c r="Q6" s="9" t="n">
        <f aca="false">(Q5-P5)/(Q3-P3)</f>
        <v>1134.41812738563</v>
      </c>
      <c r="R6" s="9" t="n">
        <f aca="false">(R5-Q5)/(R3-Q3)</f>
        <v>-514.25865765083</v>
      </c>
      <c r="S6" s="9" t="n">
        <f aca="false">(S5-R5)/(S3-R3)</f>
        <v>714.928660557792</v>
      </c>
      <c r="T6" s="9" t="n">
        <f aca="false">(T5-S5)/(T3-S3)</f>
        <v>-526.607343158621</v>
      </c>
      <c r="U6" s="9" t="n">
        <f aca="false">(U5-T5)/(U3-T3)</f>
        <v>486.018508674955</v>
      </c>
      <c r="V6" s="9" t="n">
        <f aca="false">(V5-U5)/(V3-U3)</f>
        <v>-105.843318531258</v>
      </c>
      <c r="W6" s="9" t="n">
        <f aca="false">(W5-V5)/(W3-V3)</f>
        <v>249.453347320864</v>
      </c>
      <c r="X6" s="9" t="n">
        <f aca="false">(X5-W5)/(X3-W3)</f>
        <v>-553.005331038035</v>
      </c>
      <c r="Y6" s="9" t="n">
        <f aca="false">(Y5-X5)/(Y3-X3)</f>
        <v>255.103476603991</v>
      </c>
      <c r="Z6" s="9" t="n">
        <f aca="false">(Z5-Y5)/(Z3-Y3)</f>
        <v>15.7294844010669</v>
      </c>
      <c r="AA6" s="9" t="n">
        <f aca="false">(AA5-Z5)/(AA3-Z3)</f>
        <v>-18.5932241095701</v>
      </c>
      <c r="AB6" s="9" t="n">
        <f aca="false">(AB5-AA5)/(AB3-AA3)</f>
        <v>35.2970833114771</v>
      </c>
      <c r="AC6" s="9" t="n">
        <f aca="false">(AC5-AB5)/(AC3-AB3)</f>
        <v>487.243733896942</v>
      </c>
      <c r="AD6" s="9" t="n">
        <f aca="false">(AD5-AC5)/(AD3-AC3)</f>
        <v>-222.522662180087</v>
      </c>
      <c r="AE6" s="9" t="n">
        <f aca="false">(AE5-AD5)/(AE3-AD3)</f>
        <v>1486.2322738247</v>
      </c>
      <c r="AF6" s="9" t="n">
        <f aca="false">(AF5-AE5)/(AF3-AE3)</f>
        <v>-495.388753616193</v>
      </c>
      <c r="AG6" s="9" t="n">
        <f aca="false">(AG5-AF5)/(AG3-AF3)</f>
        <v>626.416133530126</v>
      </c>
      <c r="AH6" s="9" t="n">
        <f aca="false">(AH5-AG5)/(AH3-AG3)</f>
        <v>-240.033216184783</v>
      </c>
      <c r="AI6" s="9" t="n">
        <f aca="false">(AI5-AH5)/(AI3-AH3)</f>
        <v>-112.058742597175</v>
      </c>
      <c r="AJ6" s="9" t="n">
        <f aca="false">(AJ5-AI5)/(AJ3-AI3)</f>
        <v>241.20068482082</v>
      </c>
      <c r="AK6" s="9" t="n">
        <f aca="false">(AK5-AJ5)/(AK3-AJ3)</f>
        <v>211.705123662624</v>
      </c>
      <c r="AL6" s="9" t="n">
        <f aca="false">(AL5-AK5)/(AL3-AK3)</f>
        <v>-295.195233385335</v>
      </c>
      <c r="AM6" s="9" t="n">
        <f aca="false">(AM5-AL5)/(AM3-AL3)</f>
        <v>1179.22098045229</v>
      </c>
      <c r="AN6" s="9" t="n">
        <f aca="false">(AN5-AM5)/(AN3-AM3)</f>
        <v>-1183.16187952475</v>
      </c>
      <c r="AO6" s="9" t="n">
        <f aca="false">(AO5-AN5)/(AO3-AN3)</f>
        <v>639.2707627594</v>
      </c>
      <c r="AP6" s="9" t="n">
        <f aca="false">(AP5-AO5)/(AP3-AO3)</f>
        <v>19.0539655788528</v>
      </c>
      <c r="AQ6" s="9" t="n">
        <f aca="false">(AQ5-AP5)/(AQ3-AP3)</f>
        <v>263.915480913263</v>
      </c>
      <c r="AR6" s="9" t="n">
        <f aca="false">(AR5-AQ5)/(AR3-AQ3)</f>
        <v>655.419551570406</v>
      </c>
      <c r="AS6" s="9" t="n">
        <f aca="false">(AS5-AR5)/(AS3-AR3)</f>
        <v>-1701.6118950102</v>
      </c>
      <c r="AT6" s="9" t="n">
        <f aca="false">(AT5-AS5)/(AT3-AS3)</f>
        <v>-215.470557640781</v>
      </c>
      <c r="AU6" s="9" t="n">
        <f aca="false">(AU5-AT5)/(AU3-AT3)</f>
        <v>1071.49324159747</v>
      </c>
      <c r="AV6" s="9" t="n">
        <f aca="false">(AV5-AU5)/(AV3-AU3)</f>
        <v>223.741595505746</v>
      </c>
      <c r="AW6" s="9" t="n">
        <f aca="false">(AW5-AV5)/(AW3-AV3)</f>
        <v>-67.9959491901533</v>
      </c>
      <c r="AX6" s="9" t="n">
        <f aca="false">(AX5-AW5)/(AX3-AW3)</f>
        <v>140.535269316096</v>
      </c>
      <c r="AY6" s="9" t="n">
        <f aca="false">(AY5-AX5)/(AY3-AX3)</f>
        <v>-6.46904370830524</v>
      </c>
      <c r="AZ6" s="9" t="n">
        <f aca="false">(AZ5-AY5)/(AZ3-AY3)</f>
        <v>-78.3373617899701</v>
      </c>
      <c r="BA6" s="9" t="n">
        <f aca="false">(BA5-AZ5)/(BA3-AZ3)</f>
        <v>-443.290082786785</v>
      </c>
      <c r="BB6" s="9" t="n">
        <f aca="false">(BB5-BA5)/(BB3-BA3)</f>
        <v>432.455658575924</v>
      </c>
      <c r="BC6" s="9" t="n">
        <f aca="false">(BC5-BB5)/(BC3-BB3)</f>
        <v>-11.7352594513744</v>
      </c>
    </row>
    <row r="7" s="13" customFormat="true" ht="14.3" hidden="false" customHeight="false" outlineLevel="0" collapsed="false">
      <c r="A7" s="10" t="s">
        <v>32</v>
      </c>
      <c r="B7" s="11" t="n">
        <v>0</v>
      </c>
      <c r="C7" s="11" t="n">
        <v>0</v>
      </c>
      <c r="D7" s="11" t="n">
        <v>0</v>
      </c>
      <c r="E7" s="11" t="n">
        <v>0</v>
      </c>
      <c r="F7" s="11" t="n">
        <v>0</v>
      </c>
      <c r="G7" s="12" t="n">
        <f aca="false">F7+F11</f>
        <v>1.2379384182695</v>
      </c>
      <c r="H7" s="12" t="n">
        <f aca="false">G7+G11</f>
        <v>2.47937596570848</v>
      </c>
      <c r="I7" s="12" t="n">
        <f aca="false">H7+H11</f>
        <v>3.73478260483084</v>
      </c>
      <c r="J7" s="12" t="n">
        <f aca="false">I7+I11</f>
        <v>4.99325556054212</v>
      </c>
      <c r="K7" s="12" t="n">
        <f aca="false">J7+J11</f>
        <v>6.26194409094969</v>
      </c>
      <c r="L7" s="12" t="n">
        <f aca="false">K7+K11</f>
        <v>7.54082799407124</v>
      </c>
      <c r="M7" s="12" t="n">
        <f aca="false">L7+L11</f>
        <v>8.83525008895713</v>
      </c>
      <c r="N7" s="12" t="n">
        <f aca="false">M7+M11</f>
        <v>10.1354525261293</v>
      </c>
      <c r="O7" s="12" t="n">
        <f aca="false">N7+N11</f>
        <v>11.4516644813368</v>
      </c>
      <c r="P7" s="12" t="n">
        <f aca="false">O7+O11</f>
        <v>12.7763955578628</v>
      </c>
      <c r="Q7" s="12" t="n">
        <f aca="false">P7+P11</f>
        <v>14.1159519689401</v>
      </c>
      <c r="R7" s="12" t="n">
        <f aca="false">Q7+Q11</f>
        <v>15.4636622502296</v>
      </c>
      <c r="S7" s="12" t="n">
        <f aca="false">R7+R11</f>
        <v>16.829756057173</v>
      </c>
      <c r="T7" s="12" t="n">
        <f aca="false">S7+S11</f>
        <v>18.2084948316806</v>
      </c>
      <c r="U7" s="12" t="n">
        <f aca="false">T7+T11</f>
        <v>19.600837479283</v>
      </c>
      <c r="V7" s="12" t="n">
        <f aca="false">U7+U11</f>
        <v>21.0039730687942</v>
      </c>
      <c r="W7" s="12" t="n">
        <f aca="false">V7+V11</f>
        <v>22.4256462080228</v>
      </c>
      <c r="X7" s="12" t="n">
        <f aca="false">W7+W11</f>
        <v>23.8660436801889</v>
      </c>
      <c r="Y7" s="12" t="n">
        <f aca="false">X7+X11</f>
        <v>25.3181042421697</v>
      </c>
      <c r="Z7" s="12" t="n">
        <f aca="false">Y7+Y11</f>
        <v>26.7878366950849</v>
      </c>
      <c r="AA7" s="12" t="n">
        <f aca="false">Z7+Z11</f>
        <v>28.2811054047847</v>
      </c>
      <c r="AB7" s="12" t="n">
        <f aca="false">AA7+AA11</f>
        <v>29.7929132209797</v>
      </c>
      <c r="AC7" s="12" t="n">
        <f aca="false">AB7+AB11</f>
        <v>31.3247251999627</v>
      </c>
      <c r="AD7" s="12" t="n">
        <f aca="false">AC7+AC11</f>
        <v>32.8729930748086</v>
      </c>
      <c r="AE7" s="12" t="n">
        <f aca="false">AD7+AD11</f>
        <v>34.4479588935507</v>
      </c>
      <c r="AF7" s="12" t="n">
        <f aca="false">AE7+AE11</f>
        <v>36.0330866422626</v>
      </c>
      <c r="AG7" s="12" t="n">
        <f aca="false">AF7+AF11</f>
        <v>37.6514102793043</v>
      </c>
      <c r="AH7" s="12" t="n">
        <f aca="false">AG7+AG11</f>
        <v>39.2898585934391</v>
      </c>
      <c r="AI7" s="12" t="n">
        <f aca="false">AH7+AH11</f>
        <v>40.9614057400675</v>
      </c>
      <c r="AJ7" s="12" t="n">
        <f aca="false">AI7+AI11</f>
        <v>42.6573258445709</v>
      </c>
      <c r="AK7" s="12" t="n">
        <f aca="false">AJ7+AJ11</f>
        <v>44.3922214331969</v>
      </c>
      <c r="AL7" s="12" t="n">
        <f aca="false">AK7+AK11</f>
        <v>46.1605590980928</v>
      </c>
      <c r="AM7" s="12" t="n">
        <f aca="false">AL7+AL11</f>
        <v>47.9594983135532</v>
      </c>
      <c r="AN7" s="12" t="n">
        <f aca="false">AM7+AM11</f>
        <v>49.7867667189857</v>
      </c>
      <c r="AO7" s="12" t="n">
        <f aca="false">AN7+AN11</f>
        <v>51.6420246906688</v>
      </c>
      <c r="AP7" s="12" t="n">
        <f aca="false">AO7+AO11</f>
        <v>53.5295026145395</v>
      </c>
      <c r="AQ7" s="12" t="n">
        <f aca="false">AP7+AP11</f>
        <v>55.4589962828791</v>
      </c>
      <c r="AR7" s="12" t="n">
        <f aca="false">AQ7+AQ11</f>
        <v>57.4469310820084</v>
      </c>
      <c r="AS7" s="12" t="n">
        <f aca="false">AR7+AR11</f>
        <v>59.4802653417932</v>
      </c>
      <c r="AT7" s="12" t="n">
        <f aca="false">AS7+AS11</f>
        <v>61.5523766451239</v>
      </c>
      <c r="AU7" s="12" t="n">
        <f aca="false">AT7+AT11</f>
        <v>63.665026566185</v>
      </c>
      <c r="AV7" s="12" t="n">
        <f aca="false">AU7+AU11</f>
        <v>65.8338677545102</v>
      </c>
      <c r="AW7" s="12" t="n">
        <f aca="false">AV7+AV11</f>
        <v>68.0592728823473</v>
      </c>
      <c r="AX7" s="12" t="n">
        <f aca="false">AW7+AW11</f>
        <v>70.3494484959686</v>
      </c>
      <c r="AY7" s="12" t="n">
        <f aca="false">AX7+AX11</f>
        <v>72.6975053659556</v>
      </c>
      <c r="AZ7" s="12" t="n">
        <f aca="false">AY7+AY11</f>
        <v>75.1104459745201</v>
      </c>
      <c r="BA7" s="12" t="n">
        <f aca="false">AZ7+AZ11</f>
        <v>77.5979746199954</v>
      </c>
      <c r="BB7" s="12" t="n">
        <f aca="false">BA7+BA11</f>
        <v>80.1603813305831</v>
      </c>
      <c r="BC7" s="12" t="n">
        <f aca="false">BB7+BB11</f>
        <v>82.7870730399065</v>
      </c>
    </row>
    <row r="8" s="12" customFormat="true" ht="14.3" hidden="false" customHeight="false" outlineLevel="0" collapsed="false">
      <c r="A8" s="12" t="s">
        <v>33</v>
      </c>
      <c r="B8" s="12" t="n">
        <v>0.92</v>
      </c>
      <c r="C8" s="12" t="n">
        <f aca="false">(C7)*(C3-B3)+B4</f>
        <v>1.27519905567169</v>
      </c>
      <c r="D8" s="12" t="n">
        <f aca="false">(D7)*(D3-C3)+C8</f>
        <v>1.27519905567169</v>
      </c>
      <c r="E8" s="12" t="n">
        <f aca="false">(E7)*(E3-D3)+D8</f>
        <v>1.27519905567169</v>
      </c>
      <c r="F8" s="12" t="n">
        <f aca="false">(F7)*(F3-E3)+E8</f>
        <v>1.27519905567169</v>
      </c>
      <c r="G8" s="12" t="n">
        <f aca="false">(G7)*(G3-F3)+F8</f>
        <v>1.29253026554346</v>
      </c>
      <c r="H8" s="12" t="n">
        <f aca="false">(H7)*(H3-G3)+G8</f>
        <v>1.43013570730483</v>
      </c>
      <c r="I8" s="12" t="n">
        <f aca="false">(I7)*(I3-H3)+H8</f>
        <v>1.47532650701267</v>
      </c>
      <c r="J8" s="12" t="n">
        <f aca="false">(J7)*(J3-I3)+I8</f>
        <v>1.67555594737057</v>
      </c>
      <c r="K8" s="12" t="n">
        <f aca="false">(K7)*(K3-J3)+J8</f>
        <v>1.92415532365813</v>
      </c>
      <c r="L8" s="12" t="n">
        <f aca="false">(L7)*(L3-K3)+K8</f>
        <v>2.37585036388136</v>
      </c>
      <c r="M8" s="12" t="n">
        <f aca="false">(M7)*(M3-L3)+L8</f>
        <v>2.57110914143916</v>
      </c>
      <c r="N8" s="12" t="n">
        <f aca="false">(N7)*(N3-M3)+M8</f>
        <v>3.1863317071291</v>
      </c>
      <c r="O8" s="12" t="n">
        <f aca="false">(O7)*(O3-N3)+N8</f>
        <v>3.55278434802586</v>
      </c>
      <c r="P8" s="12" t="n">
        <f aca="false">(P7)*(P3-O3)+O8</f>
        <v>4.25804265975762</v>
      </c>
      <c r="Q8" s="12" t="n">
        <f aca="false">(Q7)*(Q3-P3)+P8</f>
        <v>4.68293264440125</v>
      </c>
      <c r="R8" s="12" t="n">
        <f aca="false">(R7)*(R3-Q3)+Q8</f>
        <v>5.72208990407128</v>
      </c>
      <c r="S8" s="12" t="n">
        <f aca="false">(S7)*(S3-R3)+R8</f>
        <v>6.49121098853222</v>
      </c>
      <c r="T8" s="12" t="n">
        <f aca="false">(T7)*(T3-S3)+S8</f>
        <v>7.37796423187275</v>
      </c>
      <c r="U8" s="12" t="n">
        <f aca="false">(U7)*(U3-T3)+T8</f>
        <v>8.12867470348575</v>
      </c>
      <c r="V8" s="12" t="n">
        <f aca="false">(V7)*(V3-U3)+U8</f>
        <v>9.49603490065975</v>
      </c>
      <c r="W8" s="12" t="n">
        <f aca="false">(W7)*(W3-V3)+V8</f>
        <v>10.9514575772912</v>
      </c>
      <c r="X8" s="12" t="n">
        <f aca="false">(X7)*(X3-W3)+W8</f>
        <v>11.9061012591355</v>
      </c>
      <c r="Y8" s="12" t="n">
        <f aca="false">(Y7)*(Y3-X3)+X8</f>
        <v>13.4251860649522</v>
      </c>
      <c r="Z8" s="12" t="n">
        <f aca="false">(Z7)*(Z3-Y3)+Y8</f>
        <v>15.5360697986652</v>
      </c>
      <c r="AA8" s="12" t="n">
        <f aca="false">(AA7)*(AA3-Z3)+Z8</f>
        <v>17.2668707199765</v>
      </c>
      <c r="AB8" s="12" t="n">
        <f aca="false">(AB7)*(AB3-AA3)+AA8</f>
        <v>19.2093713555117</v>
      </c>
      <c r="AC8" s="12" t="n">
        <f aca="false">(AC7)*(AC3-AB3)+AB8</f>
        <v>20.8695809546494</v>
      </c>
      <c r="AD8" s="12" t="n">
        <f aca="false">(AD7)*(AD3-AC3)+AC8</f>
        <v>23.6572109304138</v>
      </c>
      <c r="AE8" s="12" t="n">
        <f aca="false">(AE7)*(AE3-AD3)+AD8</f>
        <v>24.7560983749193</v>
      </c>
      <c r="AF8" s="12" t="n">
        <f aca="false">(AF7)*(AF3-AE3)+AE8</f>
        <v>28.4603043964613</v>
      </c>
      <c r="AG8" s="12" t="n">
        <f aca="false">(AG7)*(AG3-AF3)+AF8</f>
        <v>30.7683283491629</v>
      </c>
      <c r="AH8" s="12" t="n">
        <f aca="false">(AH7)*(AH3-AG3)+AG8</f>
        <v>34.6658827263051</v>
      </c>
      <c r="AI8" s="12" t="n">
        <f aca="false">(AI7)*(AI3-AH3)+AH8</f>
        <v>37.6069113928078</v>
      </c>
      <c r="AJ8" s="12" t="n">
        <f aca="false">(AJ7)*(AJ3-AI3)+AI8</f>
        <v>42.4144015674358</v>
      </c>
      <c r="AK8" s="12" t="n">
        <f aca="false">(AK7)*(AK3-AJ3)+AJ8</f>
        <v>46.6183387053413</v>
      </c>
      <c r="AL8" s="12" t="n">
        <f aca="false">(AL7)*(AL3-AK3)+AK8</f>
        <v>50.5465993086924</v>
      </c>
      <c r="AM8" s="12" t="n">
        <f aca="false">(AM7)*(AM3-AL3)+AL8</f>
        <v>54.2634654591444</v>
      </c>
      <c r="AN8" s="12" t="n">
        <f aca="false">(AN7)*(AN3-AM3)+AM8</f>
        <v>58.0173814783168</v>
      </c>
      <c r="AO8" s="12" t="n">
        <f aca="false">(AO7)*(AO3-AN3)+AN8</f>
        <v>62.427615784664</v>
      </c>
      <c r="AP8" s="12" t="n">
        <f aca="false">(AP7)*(AP3-AO3)+AO8</f>
        <v>68.2730375110116</v>
      </c>
      <c r="AQ8" s="12" t="n">
        <f aca="false">(AQ7)*(AQ3-AP3)+AP8</f>
        <v>76.4809690666573</v>
      </c>
      <c r="AR8" s="12" t="n">
        <f aca="false">(AR7)*(AR3-AQ3)+AQ8</f>
        <v>82.9150246904143</v>
      </c>
      <c r="AS8" s="12" t="n">
        <f aca="false">(AS7)*(AS3-AR3)+AR8</f>
        <v>88.4883215141344</v>
      </c>
      <c r="AT8" s="12" t="n">
        <f aca="false">(AT7)*(AT3-AS3)+AS8</f>
        <v>94.4035105684996</v>
      </c>
      <c r="AU8" s="12" t="n">
        <f aca="false">(AU7)*(AU3-AT3)+AT8</f>
        <v>102.692691247282</v>
      </c>
      <c r="AV8" s="12" t="n">
        <f aca="false">(AV7)*(AV3-AU3)+AU8</f>
        <v>111.099682111463</v>
      </c>
      <c r="AW8" s="12" t="n">
        <f aca="false">(AW7)*(AW3-AV3)+AV8</f>
        <v>120.784525417964</v>
      </c>
      <c r="AX8" s="12" t="n">
        <f aca="false">(AX7)*(AX3-AW3)+AW8</f>
        <v>129.493773133276</v>
      </c>
      <c r="AY8" s="12" t="n">
        <f aca="false">(AY7)*(AY3-AX3)+AX8</f>
        <v>139.322477578131</v>
      </c>
      <c r="AZ8" s="12" t="n">
        <f aca="false">(AZ7)*(AZ3-AY3)+AY8</f>
        <v>150.664156639425</v>
      </c>
      <c r="BA8" s="12" t="n">
        <f aca="false">(BA7)*(BA3-AZ3)+AZ8</f>
        <v>162.078816515532</v>
      </c>
      <c r="BB8" s="12" t="n">
        <f aca="false">(BB7)*(BB3-BA3)+BA8</f>
        <v>171.930528114951</v>
      </c>
      <c r="BC8" s="12" t="n">
        <f aca="false">(BC7)*(BC3-BB3)+BB8</f>
        <v>186.285800390241</v>
      </c>
    </row>
    <row r="9" s="13" customFormat="true" ht="14.3" hidden="false" customHeight="false" outlineLevel="0" collapsed="false">
      <c r="A9" s="10" t="s">
        <v>34</v>
      </c>
      <c r="B9" s="13" t="n">
        <v>1.24594449996948</v>
      </c>
      <c r="C9" s="12" t="n">
        <f aca="false">C8*(C3-B3)+B9</f>
        <v>1.25869647836495</v>
      </c>
      <c r="D9" s="12" t="n">
        <f aca="false">D8*(D3-C3)+C9</f>
        <v>1.31875836349447</v>
      </c>
      <c r="E9" s="12" t="n">
        <f aca="false">E8*(E3-D3)+D9</f>
        <v>1.33520842474556</v>
      </c>
      <c r="F9" s="12" t="n">
        <f aca="false">F8*(F3-E3)+E9</f>
        <v>1.41006256528978</v>
      </c>
      <c r="G9" s="12" t="n">
        <f aca="false">G8*(G3-F3)+F9</f>
        <v>1.42815806419922</v>
      </c>
      <c r="H9" s="12" t="n">
        <f aca="false">H8*(H3-G3)+G9</f>
        <v>1.50753063959891</v>
      </c>
      <c r="I9" s="12" t="n">
        <f aca="false">I8*(I3-H3)+H9</f>
        <v>1.52538206275694</v>
      </c>
      <c r="J9" s="12" t="n">
        <f aca="false">J8*(J3-I3)+I9</f>
        <v>1.59257182013318</v>
      </c>
      <c r="K9" s="12" t="n">
        <f aca="false">K8*(K3-J3)+J9</f>
        <v>1.66896084667098</v>
      </c>
      <c r="L9" s="12" t="n">
        <f aca="false">L8*(L3-K3)+K9</f>
        <v>1.81127410809552</v>
      </c>
      <c r="M9" s="12" t="n">
        <f aca="false">M8*(M3-L3)+L9</f>
        <v>1.86809554754211</v>
      </c>
      <c r="N9" s="12" t="n">
        <f aca="false">N8*(N3-M3)+M9</f>
        <v>2.0615060699579</v>
      </c>
      <c r="O9" s="12" t="n">
        <f aca="false">O8*(O3-N3)+N9</f>
        <v>2.17519497596738</v>
      </c>
      <c r="P9" s="12" t="n">
        <f aca="false">P8*(P3-O3)+O9</f>
        <v>2.41023935635637</v>
      </c>
      <c r="Q9" s="12" t="n">
        <f aca="false">Q8*(Q3-P3)+P9</f>
        <v>2.55119557268133</v>
      </c>
      <c r="R9" s="12" t="n">
        <f aca="false">R8*(R3-Q3)+Q9</f>
        <v>2.93571970209395</v>
      </c>
      <c r="S9" s="12" t="n">
        <f aca="false">S8*(S3-R3)+R9</f>
        <v>3.23236851970036</v>
      </c>
      <c r="T9" s="12" t="n">
        <f aca="false">T8*(T3-S3)+S9</f>
        <v>3.59167519344478</v>
      </c>
      <c r="U9" s="12" t="n">
        <f aca="false">U8*(U3-T3)+T9</f>
        <v>3.90300276945739</v>
      </c>
      <c r="V9" s="12" t="n">
        <f aca="false">V8*(V3-U3)+U9</f>
        <v>4.52119534243438</v>
      </c>
      <c r="W9" s="12" t="n">
        <f aca="false">W8*(W3-V3)+V9</f>
        <v>5.23194407860478</v>
      </c>
      <c r="X9" s="12" t="n">
        <f aca="false">X8*(X3-W3)+W9</f>
        <v>5.70818909410635</v>
      </c>
      <c r="Y9" s="12" t="n">
        <f aca="false">Y8*(Y3-X3)+X9</f>
        <v>6.51369948980817</v>
      </c>
      <c r="Z9" s="12" t="n">
        <f aca="false">Z8*(Z3-Y3)+Y9</f>
        <v>7.73794306711242</v>
      </c>
      <c r="AA9" s="12" t="n">
        <f aca="false">AA8*(AA3-Z3)+Z9</f>
        <v>8.7946738887175</v>
      </c>
      <c r="AB9" s="12" t="n">
        <f aca="false">AB8*(AB3-AA3)+AA9</f>
        <v>10.047126637784</v>
      </c>
      <c r="AC9" s="12" t="n">
        <f aca="false">AC8*(AC3-AB3)+AB9</f>
        <v>11.1532138711025</v>
      </c>
      <c r="AD9" s="12" t="n">
        <f aca="false">AD8*(AD3-AC3)+AC9</f>
        <v>13.1593454753202</v>
      </c>
      <c r="AE9" s="12" t="n">
        <f aca="false">AE8*(AE3-AD3)+AD9</f>
        <v>13.9490632569515</v>
      </c>
      <c r="AF9" s="12" t="n">
        <f aca="false">AF8*(AF3-AE3)+AE9</f>
        <v>16.8747862727711</v>
      </c>
      <c r="AG9" s="12" t="n">
        <f aca="false">AG8*(AG3-AF3)+AF9</f>
        <v>18.7608786737638</v>
      </c>
      <c r="AH9" s="12" t="n">
        <f aca="false">AH8*(AH3-AG3)+AG9</f>
        <v>22.1997345972608</v>
      </c>
      <c r="AI9" s="12" t="n">
        <f aca="false">AI8*(AI3-AH3)+AH9</f>
        <v>24.8999105913842</v>
      </c>
      <c r="AJ9" s="12" t="n">
        <f aca="false">AJ8*(AJ3-AI3)+AI9</f>
        <v>29.6800231455828</v>
      </c>
      <c r="AK9" s="12" t="n">
        <f aca="false">AK8*(AK3-AJ3)+AJ9</f>
        <v>34.0947732766561</v>
      </c>
      <c r="AL9" s="12" t="n">
        <f aca="false">AL8*(AL3-AK3)+AK9</f>
        <v>38.3962856191683</v>
      </c>
      <c r="AM9" s="12" t="n">
        <f aca="false">AM8*(AM3-AL3)+AL9</f>
        <v>42.601709884716</v>
      </c>
      <c r="AN9" s="12" t="n">
        <f aca="false">AN8*(AN3-AM3)+AM9</f>
        <v>46.97621323319</v>
      </c>
      <c r="AO9" s="12" t="n">
        <f aca="false">AO8*(AO3-AN3)+AN9</f>
        <v>52.3075381463036</v>
      </c>
      <c r="AP9" s="12" t="n">
        <f aca="false">AP8*(AP3-AO3)+AO9</f>
        <v>59.7629538945942</v>
      </c>
      <c r="AQ9" s="12" t="n">
        <f aca="false">AQ8*(AQ3-AP3)+AP9</f>
        <v>71.0821374623354</v>
      </c>
      <c r="AR9" s="12" t="n">
        <f aca="false">AR8*(AR3-AQ3)+AQ9</f>
        <v>80.3686192787747</v>
      </c>
      <c r="AS9" s="12" t="n">
        <f aca="false">AS8*(AS3-AR3)+AR9</f>
        <v>88.6599689961494</v>
      </c>
      <c r="AT9" s="12" t="n">
        <f aca="false">AT8*(AT3-AS3)+AS9</f>
        <v>97.7321550406938</v>
      </c>
      <c r="AU9" s="12" t="n">
        <f aca="false">AU8*(AU3-AT3)+AT9</f>
        <v>111.102734117642</v>
      </c>
      <c r="AV9" s="12" t="n">
        <f aca="false">AV8*(AV3-AU3)+AU9</f>
        <v>125.290173567612</v>
      </c>
      <c r="AW9" s="12" t="n">
        <f aca="false">AW8*(AW3-AV3)+AV9</f>
        <v>142.477827108154</v>
      </c>
      <c r="AX9" s="12" t="n">
        <f aca="false">AX8*(AX3-AW3)+AW9</f>
        <v>158.509130436322</v>
      </c>
      <c r="AY9" s="12" t="n">
        <f aca="false">AY8*(AY3-AX3)+AX9</f>
        <v>177.345532700018</v>
      </c>
      <c r="AZ9" s="12" t="n">
        <f aca="false">AZ8*(AZ3-AY3)+AY9</f>
        <v>200.095823801</v>
      </c>
      <c r="BA9" s="12" t="n">
        <f aca="false">BA8*(BA3-AZ3)+AZ9</f>
        <v>223.937613135151</v>
      </c>
      <c r="BB9" s="12" t="n">
        <f aca="false">BB8*(BB3-BA3)+BA9</f>
        <v>245.067876614549</v>
      </c>
      <c r="BC9" s="12" t="n">
        <f aca="false">BC8*(BC3-BB3)+BB9</f>
        <v>277.369820473988</v>
      </c>
    </row>
    <row r="10" s="15" customFormat="true" ht="14.3" hidden="false" customHeight="false" outlineLevel="0" collapsed="false">
      <c r="A10" s="14" t="s">
        <v>35</v>
      </c>
      <c r="B10" s="15" t="n">
        <f aca="false">B9/B4</f>
        <v>0.97705883205285</v>
      </c>
      <c r="C10" s="15" t="n">
        <f aca="false">C9/C4</f>
        <v>0.900933078525649</v>
      </c>
      <c r="D10" s="15" t="n">
        <f aca="false">D9/D4</f>
        <v>0.844878386760477</v>
      </c>
      <c r="E10" s="15" t="n">
        <f aca="false">E9/E4</f>
        <v>0.76985937433439</v>
      </c>
      <c r="F10" s="15" t="n">
        <f aca="false">F9/F4</f>
        <v>0.762630091318639</v>
      </c>
      <c r="G10" s="15" t="n">
        <f aca="false">G9/G4</f>
        <v>0.690376426988623</v>
      </c>
      <c r="H10" s="15" t="n">
        <f aca="false">H9/H4</f>
        <v>0.591314273724637</v>
      </c>
      <c r="I10" s="15" t="n">
        <f aca="false">I9/I4</f>
        <v>0.552515154628091</v>
      </c>
      <c r="J10" s="15" t="n">
        <f aca="false">J9/J4</f>
        <v>0.497709946737809</v>
      </c>
      <c r="K10" s="15" t="n">
        <f aca="false">K9/K4</f>
        <v>0.428294467757301</v>
      </c>
      <c r="L10" s="15" t="n">
        <f aca="false">L9/L4</f>
        <v>0.407580952051672</v>
      </c>
      <c r="M10" s="15" t="n">
        <f aca="false">M9/M4</f>
        <v>0.409547213076538</v>
      </c>
      <c r="N10" s="15" t="n">
        <f aca="false">N9/N4</f>
        <v>0.366492826246844</v>
      </c>
      <c r="O10" s="15" t="n">
        <f aca="false">O9/O4</f>
        <v>0.349408094155208</v>
      </c>
      <c r="P10" s="15" t="n">
        <f aca="false">P9/P4</f>
        <v>0.374485307876102</v>
      </c>
      <c r="Q10" s="15" t="n">
        <f aca="false">Q9/Q4</f>
        <v>0.336619908063547</v>
      </c>
      <c r="R10" s="15" t="n">
        <f aca="false">R9/R4</f>
        <v>0.376000788363096</v>
      </c>
      <c r="S10" s="15" t="n">
        <f aca="false">S9/S4</f>
        <v>0.341813294366259</v>
      </c>
      <c r="T10" s="15" t="n">
        <f aca="false">T9/T4</f>
        <v>0.360443503426432</v>
      </c>
      <c r="U10" s="15" t="n">
        <f aca="false">U9/U4</f>
        <v>0.352348795252227</v>
      </c>
      <c r="V10" s="15" t="n">
        <f aca="false">V9/V4</f>
        <v>0.361132267449641</v>
      </c>
      <c r="W10" s="15" t="n">
        <f aca="false">W9/W4</f>
        <v>0.348606571866257</v>
      </c>
      <c r="X10" s="15" t="n">
        <f aca="false">X9/X4</f>
        <v>0.364572793685039</v>
      </c>
      <c r="Y10" s="15" t="n">
        <f aca="false">Y9/Y4</f>
        <v>0.371169499821759</v>
      </c>
      <c r="Z10" s="15" t="n">
        <f aca="false">Z9/Z4</f>
        <v>0.384369406626519</v>
      </c>
      <c r="AA10" s="15" t="n">
        <f aca="false">AA9/AA4</f>
        <v>0.398535037623004</v>
      </c>
      <c r="AB10" s="15" t="n">
        <f aca="false">AB9/AB4</f>
        <v>0.413801332851717</v>
      </c>
      <c r="AC10" s="15" t="n">
        <f aca="false">AC9/AC4</f>
        <v>0.406350185211899</v>
      </c>
      <c r="AD10" s="15" t="n">
        <f aca="false">AD9/AD4</f>
        <v>0.425666474144639</v>
      </c>
      <c r="AE10" s="15" t="n">
        <f aca="false">AE9/AE4</f>
        <v>0.41353297213403</v>
      </c>
      <c r="AF10" s="15" t="n">
        <f aca="false">AF9/AF4</f>
        <v>0.449114474095375</v>
      </c>
      <c r="AG10" s="15" t="n">
        <f aca="false">AG9/AG4</f>
        <v>0.444377600880934</v>
      </c>
      <c r="AH10" s="15" t="n">
        <f aca="false">AH9/AH4</f>
        <v>0.468616583503094</v>
      </c>
      <c r="AI10" s="15" t="n">
        <f aca="false">AI9/AI4</f>
        <v>0.492813131285459</v>
      </c>
      <c r="AJ10" s="15" t="n">
        <f aca="false">AJ9/AJ4</f>
        <v>0.507013165206218</v>
      </c>
      <c r="AK10" s="15" t="n">
        <f aca="false">AK9/AK4</f>
        <v>0.507584586212593</v>
      </c>
      <c r="AL10" s="15" t="n">
        <f aca="false">AL9/AL4</f>
        <v>0.527497772028359</v>
      </c>
      <c r="AM10" s="15" t="n">
        <f aca="false">AM9/AM4</f>
        <v>0.501259980443793</v>
      </c>
      <c r="AN10" s="15" t="n">
        <f aca="false">AN9/AN4</f>
        <v>0.521193662256111</v>
      </c>
      <c r="AO10" s="15" t="n">
        <f aca="false">AO9/AO4</f>
        <v>0.519857013136394</v>
      </c>
      <c r="AP10" s="15" t="n">
        <f aca="false">AP9/AP4</f>
        <v>0.52306168310927</v>
      </c>
      <c r="AQ10" s="15" t="n">
        <f aca="false">AQ9/AQ4</f>
        <v>0.51315747732418</v>
      </c>
      <c r="AR10" s="15" t="n">
        <f aca="false">AR9/AR4</f>
        <v>0.486781606779384</v>
      </c>
      <c r="AS10" s="15" t="n">
        <f aca="false">AS9/AS4</f>
        <v>0.514263608957386</v>
      </c>
      <c r="AT10" s="15" t="n">
        <f aca="false">AT9/AT4</f>
        <v>0.549369848639805</v>
      </c>
      <c r="AU10" s="15" t="n">
        <f aca="false">AU9/AU4</f>
        <v>0.545932650862766</v>
      </c>
      <c r="AV10" s="15" t="n">
        <f aca="false">AV9/AV4</f>
        <v>0.539397115083827</v>
      </c>
      <c r="AW10" s="15" t="n">
        <f aca="false">AW9/AW4</f>
        <v>0.541826104191349</v>
      </c>
      <c r="AX10" s="15" t="n">
        <f aca="false">AX9/AX4</f>
        <v>0.543203790205774</v>
      </c>
      <c r="AY10" s="15" t="n">
        <f aca="false">AY9/AY4</f>
        <v>0.548738370093284</v>
      </c>
      <c r="AZ10" s="15" t="n">
        <f aca="false">AZ9/AZ4</f>
        <v>0.561352899100855</v>
      </c>
      <c r="BA10" s="15" t="n">
        <f aca="false">BA9/BA4</f>
        <v>0.590449072532551</v>
      </c>
      <c r="BB10" s="15" t="n">
        <f aca="false">BB9/BB4</f>
        <v>0.605316321133179</v>
      </c>
      <c r="BC10" s="15" t="n">
        <f aca="false">BC9/BC4</f>
        <v>0.629506091761534</v>
      </c>
    </row>
    <row r="11" s="16" customFormat="true" ht="14.3" hidden="false" customHeight="false" outlineLevel="0" collapsed="false">
      <c r="A11" s="16" t="s">
        <v>36</v>
      </c>
      <c r="B11" s="16" t="n">
        <f aca="false">POWER($B$19,B3/$B$18)+B12</f>
        <v>1.2062300990278</v>
      </c>
      <c r="C11" s="16" t="n">
        <f aca="false">POWER($B$19,C3/$B$18)+C12</f>
        <v>1.20866446376307</v>
      </c>
      <c r="D11" s="16" t="n">
        <f aca="false">POWER($B$19,D3/$B$18)+D12</f>
        <v>1.22019656417889</v>
      </c>
      <c r="E11" s="16" t="n">
        <f aca="false">POWER($B$19,E3/$B$18)+E12</f>
        <v>1.2233741862681</v>
      </c>
      <c r="F11" s="16" t="n">
        <f aca="false">POWER($B$19,F3/$B$18)+F12</f>
        <v>1.2379384182695</v>
      </c>
      <c r="G11" s="16" t="n">
        <f aca="false">POWER($B$19,G3/$B$18)+G12</f>
        <v>1.24143754743898</v>
      </c>
      <c r="H11" s="16" t="n">
        <f aca="false">POWER($B$19,H3/$B$18)+H12</f>
        <v>1.25540663912236</v>
      </c>
      <c r="I11" s="16" t="n">
        <f aca="false">POWER($B$19,I3/$B$18)+I12</f>
        <v>1.25847295571128</v>
      </c>
      <c r="J11" s="16" t="n">
        <f aca="false">POWER($B$19,J3/$B$18)+J12</f>
        <v>1.26868853040757</v>
      </c>
      <c r="K11" s="16" t="n">
        <f aca="false">POWER($B$19,K3/$B$18)+K12</f>
        <v>1.27888390312155</v>
      </c>
      <c r="L11" s="16" t="n">
        <f aca="false">POWER($B$19,L3/$B$18)+L12</f>
        <v>1.29442209488589</v>
      </c>
      <c r="M11" s="16" t="n">
        <f aca="false">POWER($B$19,M3/$B$18)+M12</f>
        <v>1.30020243717222</v>
      </c>
      <c r="N11" s="16" t="n">
        <f aca="false">POWER($B$19,N3/$B$18)+N12</f>
        <v>1.31621195520747</v>
      </c>
      <c r="O11" s="16" t="n">
        <f aca="false">POWER($B$19,O3/$B$18)+O12</f>
        <v>1.32473107652601</v>
      </c>
      <c r="P11" s="16" t="n">
        <f aca="false">POWER($B$19,P3/$B$18)+P12</f>
        <v>1.33955641107727</v>
      </c>
      <c r="Q11" s="16" t="n">
        <f aca="false">POWER($B$19,Q3/$B$18)+Q12</f>
        <v>1.34771028128955</v>
      </c>
      <c r="R11" s="16" t="n">
        <f aca="false">POWER($B$19,R3/$B$18)+R12</f>
        <v>1.36609380694336</v>
      </c>
      <c r="S11" s="16" t="n">
        <f aca="false">POWER($B$19,S3/$B$18)+S12</f>
        <v>1.37873877450758</v>
      </c>
      <c r="T11" s="16" t="n">
        <f aca="false">POWER($B$19,T3/$B$18)+T12</f>
        <v>1.39234264760245</v>
      </c>
      <c r="U11" s="16" t="n">
        <f aca="false">POWER($B$19,U3/$B$18)+U12</f>
        <v>1.40313558951116</v>
      </c>
      <c r="V11" s="16" t="n">
        <f aca="false">POWER($B$19,V3/$B$18)+V12</f>
        <v>1.4216731392286</v>
      </c>
      <c r="W11" s="16" t="n">
        <f aca="false">POWER($B$19,W3/$B$18)+W12</f>
        <v>1.44039747216612</v>
      </c>
      <c r="X11" s="16" t="n">
        <f aca="false">POWER($B$19,X3/$B$18)+X12</f>
        <v>1.45206056198078</v>
      </c>
      <c r="Y11" s="16" t="n">
        <f aca="false">POWER($B$19,Y3/$B$18)+Y12</f>
        <v>1.46973245291524</v>
      </c>
      <c r="Z11" s="16" t="n">
        <f aca="false">POWER($B$19,Z3/$B$18)+Z12</f>
        <v>1.49326870969981</v>
      </c>
      <c r="AA11" s="16" t="n">
        <f aca="false">POWER($B$19,AA3/$B$18)+AA12</f>
        <v>1.51180781619494</v>
      </c>
      <c r="AB11" s="16" t="n">
        <f aca="false">POWER($B$19,AB3/$B$18)+AB12</f>
        <v>1.53181197898303</v>
      </c>
      <c r="AC11" s="16" t="n">
        <f aca="false">POWER($B$19,AC3/$B$18)+AC12</f>
        <v>1.54826787484589</v>
      </c>
      <c r="AD11" s="16" t="n">
        <f aca="false">POWER($B$19,AD3/$B$18)+AD12</f>
        <v>1.57496581874205</v>
      </c>
      <c r="AE11" s="16" t="n">
        <f aca="false">POWER($B$19,AE3/$B$18)+AE12</f>
        <v>1.58512774871191</v>
      </c>
      <c r="AF11" s="16" t="n">
        <f aca="false">POWER($B$19,AF3/$B$18)+AF12</f>
        <v>1.61832363704178</v>
      </c>
      <c r="AG11" s="16" t="n">
        <f aca="false">POWER($B$19,AG3/$B$18)+AG12</f>
        <v>1.6384483141347</v>
      </c>
      <c r="AH11" s="16" t="n">
        <f aca="false">POWER($B$19,AH3/$B$18)+AH12</f>
        <v>1.67154714662844</v>
      </c>
      <c r="AI11" s="16" t="n">
        <f aca="false">POWER($B$19,AI3/$B$18)+AI12</f>
        <v>1.6959201045034</v>
      </c>
      <c r="AJ11" s="16" t="n">
        <f aca="false">POWER($B$19,AJ3/$B$18)+AJ12</f>
        <v>1.73489558862604</v>
      </c>
      <c r="AK11" s="16" t="n">
        <f aca="false">POWER($B$19,AK3/$B$18)+AK12</f>
        <v>1.76833766489588</v>
      </c>
      <c r="AL11" s="16" t="n">
        <f aca="false">POWER($B$19,AL3/$B$18)+AL12</f>
        <v>1.79893921546041</v>
      </c>
      <c r="AM11" s="16" t="n">
        <f aca="false">POWER($B$19,AM3/$B$18)+AM12</f>
        <v>1.82726840543245</v>
      </c>
      <c r="AN11" s="16" t="n">
        <f aca="false">POWER($B$19,AN3/$B$18)+AN12</f>
        <v>1.8552579716831</v>
      </c>
      <c r="AO11" s="16" t="n">
        <f aca="false">POWER($B$19,AO3/$B$18)+AO12</f>
        <v>1.88747792387071</v>
      </c>
      <c r="AP11" s="16" t="n">
        <f aca="false">POWER($B$19,AP3/$B$18)+AP12</f>
        <v>1.92949366833962</v>
      </c>
      <c r="AQ11" s="16" t="n">
        <f aca="false">POWER($B$19,AQ3/$B$18)+AQ12</f>
        <v>1.98793479912925</v>
      </c>
      <c r="AR11" s="16" t="n">
        <f aca="false">POWER($B$19,AR3/$B$18)+AR12</f>
        <v>2.03333425978483</v>
      </c>
      <c r="AS11" s="16" t="n">
        <f aca="false">POWER($B$19,AS3/$B$18)+AS12</f>
        <v>2.07211130333072</v>
      </c>
      <c r="AT11" s="16" t="n">
        <f aca="false">POWER($B$19,AT3/$B$18)+AT12</f>
        <v>2.11264992106105</v>
      </c>
      <c r="AU11" s="16" t="n">
        <f aca="false">POWER($B$19,AU3/$B$18)+AU12</f>
        <v>2.16884118832527</v>
      </c>
      <c r="AV11" s="16" t="n">
        <f aca="false">POWER($B$19,AV3/$B$18)+AV12</f>
        <v>2.2254051278371</v>
      </c>
      <c r="AW11" s="16" t="n">
        <f aca="false">POWER($B$19,AW3/$B$18)+AW12</f>
        <v>2.29017561362128</v>
      </c>
      <c r="AX11" s="16" t="n">
        <f aca="false">POWER($B$19,AX3/$B$18)+AX12</f>
        <v>2.34805686998698</v>
      </c>
      <c r="AY11" s="16" t="n">
        <f aca="false">POWER($B$19,AY3/$B$18)+AY12</f>
        <v>2.41294060856455</v>
      </c>
      <c r="AZ11" s="16" t="n">
        <f aca="false">POWER($B$19,AZ3/$B$18)+AZ12</f>
        <v>2.48752864547531</v>
      </c>
      <c r="BA11" s="16" t="n">
        <f aca="false">POWER($B$19,BA3/$B$18)+BA12</f>
        <v>2.56240671058761</v>
      </c>
      <c r="BB11" s="16" t="n">
        <f aca="false">POWER($B$19,BB3/$B$18)+BB12</f>
        <v>2.62669170932342</v>
      </c>
      <c r="BC11" s="16" t="n">
        <f aca="false">POWER($B$19,BC3/$B$18)+BC12</f>
        <v>2.72014391270787</v>
      </c>
    </row>
    <row r="12" s="11" customFormat="true" ht="14.3" hidden="false" customHeight="true" outlineLevel="0" collapsed="false">
      <c r="A12" s="11" t="s">
        <v>37</v>
      </c>
      <c r="B12" s="11" t="n">
        <v>0</v>
      </c>
      <c r="C12" s="11" t="n">
        <v>0</v>
      </c>
      <c r="D12" s="11" t="n">
        <v>0</v>
      </c>
      <c r="E12" s="11" t="n">
        <v>0</v>
      </c>
      <c r="F12" s="11" t="n">
        <v>0</v>
      </c>
      <c r="G12" s="11" t="n">
        <v>0</v>
      </c>
      <c r="H12" s="11" t="n">
        <v>0</v>
      </c>
      <c r="I12" s="11" t="n">
        <v>0</v>
      </c>
      <c r="J12" s="11" t="n">
        <v>0</v>
      </c>
      <c r="K12" s="11" t="n">
        <v>0</v>
      </c>
      <c r="L12" s="11" t="n">
        <v>0</v>
      </c>
      <c r="M12" s="11" t="n">
        <v>0</v>
      </c>
      <c r="N12" s="11" t="n">
        <v>0</v>
      </c>
      <c r="O12" s="11" t="n">
        <v>0</v>
      </c>
      <c r="P12" s="11" t="n">
        <v>0</v>
      </c>
      <c r="Q12" s="11" t="n">
        <v>0</v>
      </c>
      <c r="R12" s="11" t="n">
        <v>0</v>
      </c>
      <c r="S12" s="11" t="n">
        <v>0</v>
      </c>
      <c r="T12" s="11" t="n">
        <v>0</v>
      </c>
      <c r="U12" s="11" t="n">
        <v>0</v>
      </c>
      <c r="V12" s="11" t="n">
        <v>0</v>
      </c>
      <c r="W12" s="11" t="n">
        <v>0</v>
      </c>
      <c r="X12" s="11" t="n">
        <v>0</v>
      </c>
      <c r="Y12" s="11" t="n">
        <v>0</v>
      </c>
      <c r="Z12" s="11" t="n">
        <v>0</v>
      </c>
      <c r="AA12" s="11" t="n">
        <v>0</v>
      </c>
      <c r="AB12" s="11" t="n">
        <v>0</v>
      </c>
      <c r="AC12" s="11" t="n">
        <v>0</v>
      </c>
      <c r="AD12" s="11" t="n">
        <v>0</v>
      </c>
      <c r="AE12" s="11" t="n">
        <v>0</v>
      </c>
      <c r="AF12" s="11" t="n">
        <v>0</v>
      </c>
      <c r="AG12" s="11" t="n">
        <v>0</v>
      </c>
      <c r="AH12" s="11" t="n">
        <v>0</v>
      </c>
      <c r="AI12" s="11" t="n">
        <v>0</v>
      </c>
      <c r="AJ12" s="11" t="n">
        <v>0</v>
      </c>
      <c r="AK12" s="11" t="n">
        <v>0</v>
      </c>
      <c r="AL12" s="11" t="n">
        <v>0</v>
      </c>
      <c r="AM12" s="11" t="n">
        <v>0</v>
      </c>
      <c r="AN12" s="11" t="n">
        <v>0</v>
      </c>
      <c r="AO12" s="11" t="n">
        <v>0</v>
      </c>
      <c r="AP12" s="11" t="n">
        <v>0</v>
      </c>
      <c r="AQ12" s="11" t="n">
        <v>0</v>
      </c>
      <c r="AR12" s="11" t="n">
        <v>0</v>
      </c>
      <c r="AS12" s="11" t="n">
        <v>0</v>
      </c>
      <c r="AT12" s="11" t="n">
        <v>0</v>
      </c>
      <c r="AU12" s="11" t="n">
        <v>0</v>
      </c>
      <c r="AV12" s="11" t="n">
        <v>0</v>
      </c>
      <c r="AW12" s="11" t="n">
        <v>0</v>
      </c>
      <c r="AX12" s="11" t="n">
        <v>0</v>
      </c>
      <c r="AY12" s="11" t="n">
        <v>0</v>
      </c>
      <c r="AZ12" s="11" t="n">
        <v>0</v>
      </c>
      <c r="BA12" s="11" t="n">
        <v>0</v>
      </c>
      <c r="BB12" s="11" t="n">
        <v>0</v>
      </c>
      <c r="BC12" s="11" t="n">
        <v>0</v>
      </c>
    </row>
    <row r="13" s="17" customFormat="true" ht="14.3" hidden="false" customHeight="false" outlineLevel="0" collapsed="false">
      <c r="A13" s="17" t="s">
        <v>38</v>
      </c>
      <c r="B13" s="17" t="n">
        <f aca="false">B9/B14</f>
        <v>1.07409011710697</v>
      </c>
      <c r="C13" s="17" t="n">
        <f aca="false">C9/C14</f>
        <v>0.916995101943509</v>
      </c>
      <c r="D13" s="17" t="n">
        <f aca="false">D9/D14</f>
        <v>0.853565298787114</v>
      </c>
      <c r="E13" s="17" t="n">
        <f aca="false">E9/E14</f>
        <v>0.780823676138238</v>
      </c>
      <c r="F13" s="17" t="n">
        <f aca="false">F9/F14</f>
        <v>0.732499980986512</v>
      </c>
      <c r="G13" s="17" t="n">
        <f aca="false">G9/G14</f>
        <v>0.658896428262474</v>
      </c>
      <c r="H13" s="17" t="n">
        <f aca="false">H9/H14</f>
        <v>0.61657701064631</v>
      </c>
      <c r="I13" s="17" t="n">
        <f aca="false">I9/I14</f>
        <v>0.554684351360678</v>
      </c>
      <c r="J13" s="17" t="n">
        <f aca="false">J9/J14</f>
        <v>0.517488781467747</v>
      </c>
      <c r="K13" s="17" t="n">
        <f aca="false">K9/K14</f>
        <v>0.487643822891216</v>
      </c>
      <c r="L13" s="17" t="n">
        <f aca="false">L9/L14</f>
        <v>0.481082075443287</v>
      </c>
      <c r="M13" s="17" t="n">
        <f aca="false">M9/M14</f>
        <v>0.450143475689823</v>
      </c>
      <c r="N13" s="17" t="n">
        <f aca="false">N9/N14</f>
        <v>0.440022672021676</v>
      </c>
      <c r="O13" s="17" t="n">
        <f aca="false">O9/O14</f>
        <v>0.410801666138681</v>
      </c>
      <c r="P13" s="17" t="n">
        <f aca="false">P9/P14</f>
        <v>0.387142619049251</v>
      </c>
      <c r="Q13" s="17" t="n">
        <f aca="false">Q9/Q14</f>
        <v>0.36033836160666</v>
      </c>
      <c r="R13" s="17" t="n">
        <f aca="false">R9/R14</f>
        <v>0.374932233046144</v>
      </c>
      <c r="S13" s="17" t="n">
        <f aca="false">S9/S14</f>
        <v>0.374279157473613</v>
      </c>
      <c r="T13" s="17" t="n">
        <f aca="false">T9/T14</f>
        <v>0.372822137125765</v>
      </c>
      <c r="U13" s="17" t="n">
        <f aca="false">U9/U14</f>
        <v>0.364255996310644</v>
      </c>
      <c r="V13" s="17" t="n">
        <f aca="false">V9/V14</f>
        <v>0.374736431332927</v>
      </c>
      <c r="W13" s="17" t="n">
        <f aca="false">W9/W14</f>
        <v>0.386406491271483</v>
      </c>
      <c r="X13" s="17" t="n">
        <f aca="false">X9/X14</f>
        <v>0.366077198819576</v>
      </c>
      <c r="Y13" s="17" t="n">
        <f aca="false">Y9/Y14</f>
        <v>0.367694018294018</v>
      </c>
      <c r="Z13" s="17" t="n">
        <f aca="false">Z9/Z14</f>
        <v>0.391893763332536</v>
      </c>
      <c r="AA13" s="17" t="n">
        <f aca="false">AA9/AA14</f>
        <v>0.40025819416155</v>
      </c>
      <c r="AB13" s="17" t="n">
        <f aca="false">AB9/AB14</f>
        <v>0.412063039606186</v>
      </c>
      <c r="AC13" s="17" t="n">
        <f aca="false">AC9/AC14</f>
        <v>0.428052468430879</v>
      </c>
      <c r="AD13" s="17" t="n">
        <f aca="false">AD9/AD14</f>
        <v>0.429027450104498</v>
      </c>
      <c r="AE13" s="17" t="n">
        <f aca="false">AE9/AE14</f>
        <v>0.406757321527859</v>
      </c>
      <c r="AF13" s="17" t="n">
        <f aca="false">AF9/AF14</f>
        <v>0.452124299564511</v>
      </c>
      <c r="AG13" s="17" t="n">
        <f aca="false">AG9/AG14</f>
        <v>0.449308589914823</v>
      </c>
      <c r="AH13" s="17" t="n">
        <f aca="false">AH9/AH14</f>
        <v>0.479362976801176</v>
      </c>
      <c r="AI13" s="17" t="n">
        <f aca="false">AI9/AI14</f>
        <v>0.489802191683941</v>
      </c>
      <c r="AJ13" s="17" t="n">
        <f aca="false">AJ9/AJ14</f>
        <v>0.533861469400226</v>
      </c>
      <c r="AK13" s="17" t="n">
        <f aca="false">AK9/AK14</f>
        <v>0.517803508028468</v>
      </c>
      <c r="AL13" s="17" t="n">
        <f aca="false">AL9/AL14</f>
        <v>0.535457069005636</v>
      </c>
      <c r="AM13" s="17" t="n">
        <f aca="false">AM9/AM14</f>
        <v>0.536692985830712</v>
      </c>
      <c r="AN13" s="17" t="n">
        <f aca="false">AN9/AN14</f>
        <v>0.530924619149863</v>
      </c>
      <c r="AO13" s="17" t="n">
        <f aca="false">AO9/AO14</f>
        <v>0.528425669863479</v>
      </c>
      <c r="AP13" s="17" t="n">
        <f aca="false">AP9/AP14</f>
        <v>0.511768642918361</v>
      </c>
      <c r="AQ13" s="17" t="n">
        <f aca="false">AQ9/AQ14</f>
        <v>0.522317160180566</v>
      </c>
      <c r="AR13" s="17" t="n">
        <f aca="false">AR9/AR14</f>
        <v>0.51609871821234</v>
      </c>
      <c r="AS13" s="17" t="n">
        <f aca="false">AS9/AS14</f>
        <v>0.507749404483482</v>
      </c>
      <c r="AT13" s="17" t="n">
        <f aca="false">AT9/AT14</f>
        <v>0.491882580241108</v>
      </c>
      <c r="AU13" s="17" t="n">
        <f aca="false">AU9/AU14</f>
        <v>0.521960285102175</v>
      </c>
      <c r="AV13" s="17" t="n">
        <f aca="false">AV9/AV14</f>
        <v>0.548339913807957</v>
      </c>
      <c r="AW13" s="17" t="n">
        <f aca="false">AW9/AW14</f>
        <v>0.57764327152925</v>
      </c>
      <c r="AX13" s="17" t="n">
        <f aca="false">AX9/AX14</f>
        <v>0.588632293173758</v>
      </c>
      <c r="AY13" s="17" t="n">
        <f aca="false">AY9/AY14</f>
        <v>0.615665533210746</v>
      </c>
      <c r="AZ13" s="17" t="n">
        <f aca="false">AZ9/AZ14</f>
        <v>0.663535737292345</v>
      </c>
      <c r="BA13" s="17" t="n">
        <f aca="false">BA9/BA14</f>
        <v>0.683841723441707</v>
      </c>
      <c r="BB13" s="17" t="n">
        <f aca="false">BB9/BB14</f>
        <v>0.694499069146046</v>
      </c>
      <c r="BC13" s="17" t="n">
        <f aca="false">BC9/BC14</f>
        <v>0.732155588520787</v>
      </c>
    </row>
    <row r="14" s="18" customFormat="true" ht="14.3" hidden="false" customHeight="false" outlineLevel="0" collapsed="false">
      <c r="A14" s="18" t="s">
        <v>39</v>
      </c>
      <c r="B14" s="19" t="n">
        <v>1.1599999666</v>
      </c>
      <c r="C14" s="19" t="n">
        <v>1.3726316266</v>
      </c>
      <c r="D14" s="19" t="n">
        <v>1.5449999729</v>
      </c>
      <c r="E14" s="19" t="n">
        <v>1.7099999213</v>
      </c>
      <c r="F14" s="19" t="n">
        <v>1.9250001391</v>
      </c>
      <c r="G14" s="19" t="n">
        <v>2.1675000849</v>
      </c>
      <c r="H14" s="19" t="n">
        <v>2.4449997544</v>
      </c>
      <c r="I14" s="19" t="n">
        <v>2.750000174</v>
      </c>
      <c r="J14" s="19" t="n">
        <v>3.0775001839</v>
      </c>
      <c r="K14" s="19" t="n">
        <v>3.4224997187</v>
      </c>
      <c r="L14" s="19" t="n">
        <v>3.7650001955</v>
      </c>
      <c r="M14" s="19" t="n">
        <v>4.1500002742</v>
      </c>
      <c r="N14" s="19" t="n">
        <v>4.6849996626</v>
      </c>
      <c r="O14" s="19" t="n">
        <v>5.2950003743</v>
      </c>
      <c r="P14" s="19" t="n">
        <v>6.2257143434</v>
      </c>
      <c r="Q14" s="19" t="n">
        <v>7.0799999237</v>
      </c>
      <c r="R14" s="19" t="n">
        <v>7.8300008464</v>
      </c>
      <c r="S14" s="19" t="n">
        <v>8.63625039</v>
      </c>
      <c r="T14" s="19" t="n">
        <v>9.633749812</v>
      </c>
      <c r="U14" s="19" t="n">
        <v>10.7149993658</v>
      </c>
      <c r="V14" s="19" t="n">
        <v>12.0650007963</v>
      </c>
      <c r="W14" s="19" t="n">
        <v>13.5400004834</v>
      </c>
      <c r="X14" s="19" t="n">
        <v>15.5928561312</v>
      </c>
      <c r="Y14" s="19" t="n">
        <v>17.7149998796</v>
      </c>
      <c r="Z14" s="19" t="n">
        <v>19.745001812</v>
      </c>
      <c r="AA14" s="19" t="n">
        <v>21.9725017926</v>
      </c>
      <c r="AB14" s="19" t="n">
        <v>24.3824989676</v>
      </c>
      <c r="AC14" s="19" t="n">
        <v>26.0557167489</v>
      </c>
      <c r="AD14" s="19" t="n">
        <v>30.6725023588</v>
      </c>
      <c r="AE14" s="19" t="n">
        <v>34.2933304914</v>
      </c>
      <c r="AF14" s="19" t="n">
        <v>37.3233340677</v>
      </c>
      <c r="AG14" s="19" t="n">
        <v>41.7549966657</v>
      </c>
      <c r="AH14" s="19" t="n">
        <v>46.3109077497</v>
      </c>
      <c r="AI14" s="19" t="n">
        <v>50.8366663403</v>
      </c>
      <c r="AJ14" s="19" t="n">
        <v>55.594990174</v>
      </c>
      <c r="AK14" s="19" t="n">
        <v>65.8450024923</v>
      </c>
      <c r="AL14" s="19" t="n">
        <v>71.7074959725</v>
      </c>
      <c r="AM14" s="19" t="n">
        <v>79.37817525</v>
      </c>
      <c r="AN14" s="19" t="n">
        <v>88.4800055202</v>
      </c>
      <c r="AO14" s="19" t="n">
        <v>98.98750407</v>
      </c>
      <c r="AP14" s="19" t="n">
        <v>116.7772873965</v>
      </c>
      <c r="AQ14" s="19" t="n">
        <v>136.0899906826</v>
      </c>
      <c r="AR14" s="19" t="n">
        <v>155.7233460241</v>
      </c>
      <c r="AS14" s="19" t="n">
        <v>174.6136346262</v>
      </c>
      <c r="AT14" s="19" t="n">
        <v>198.6900105159</v>
      </c>
      <c r="AU14" s="19" t="n">
        <v>212.8566814157</v>
      </c>
      <c r="AV14" s="19" t="n">
        <v>228.489975675</v>
      </c>
      <c r="AW14" s="19" t="n">
        <v>246.6536600192</v>
      </c>
      <c r="AX14" s="19" t="n">
        <v>269.283782549</v>
      </c>
      <c r="AY14" s="19" t="n">
        <v>288.0549959897</v>
      </c>
      <c r="AZ14" s="19" t="n">
        <v>301.5599802017</v>
      </c>
      <c r="BA14" s="19" t="n">
        <v>327.4699472973</v>
      </c>
      <c r="BB14" s="19" t="n">
        <v>352.8699857235</v>
      </c>
      <c r="BC14" s="19" t="n">
        <v>378.8399963379</v>
      </c>
    </row>
    <row r="15" s="20" customFormat="true" ht="14.3" hidden="false" customHeight="false" outlineLevel="0" collapsed="false">
      <c r="A15" s="20" t="s">
        <v>40</v>
      </c>
      <c r="B15" s="20" t="n">
        <v>1.3</v>
      </c>
      <c r="C15" s="20" t="n">
        <f aca="false">(C14-B14)/(C3-B3)</f>
        <v>21.2631862781546</v>
      </c>
      <c r="D15" s="20" t="n">
        <f aca="false">(D14-C14)/(D3-C3)</f>
        <v>3.65962460144987</v>
      </c>
      <c r="E15" s="20" t="n">
        <f aca="false">(E14-D14)/(E3-D3)</f>
        <v>12.7906987806255</v>
      </c>
      <c r="F15" s="20" t="n">
        <f aca="false">(F14-E14)/(F3-E3)</f>
        <v>3.66269751699052</v>
      </c>
      <c r="G15" s="20" t="n">
        <f aca="false">(G14-F14)/(G3-F3)</f>
        <v>17.3213527246658</v>
      </c>
      <c r="H15" s="20" t="n">
        <f aca="false">(H14-G14)/(H3-G3)</f>
        <v>4.99999129571849</v>
      </c>
      <c r="I15" s="20" t="n">
        <f aca="false">(I14-H14)/(I3-H3)</f>
        <v>25.2066851870877</v>
      </c>
      <c r="J15" s="20" t="n">
        <f aca="false">(J14-I14)/(J3-I3)</f>
        <v>8.16708693081174</v>
      </c>
      <c r="K15" s="20" t="n">
        <f aca="false">(K14-J14)/(K3-J3)</f>
        <v>8.69015775736433</v>
      </c>
      <c r="L15" s="20" t="n">
        <f aca="false">(L14-K14)/(L3-K3)</f>
        <v>5.71787811121363</v>
      </c>
      <c r="M15" s="20" t="n">
        <f aca="false">(M14-L14)/(M3-L3)</f>
        <v>17.4208402927022</v>
      </c>
      <c r="N15" s="20" t="n">
        <f aca="false">(N14-M14)/(N3-M3)</f>
        <v>8.81381991662702</v>
      </c>
      <c r="O15" s="20" t="n">
        <f aca="false">(O14-N14)/(O3-N3)</f>
        <v>19.0625546228037</v>
      </c>
      <c r="P15" s="20" t="n">
        <f aca="false">(P14-O14)/(P3-O3)</f>
        <v>16.8607297817608</v>
      </c>
      <c r="Q15" s="20" t="n">
        <f aca="false">(Q14-P14)/(Q3-P3)</f>
        <v>28.3815920711509</v>
      </c>
      <c r="R15" s="20" t="n">
        <f aca="false">(R14-Q14)/(R3-Q3)</f>
        <v>11.160737076192</v>
      </c>
      <c r="S15" s="20" t="n">
        <f aca="false">(S14-R14)/(S3-R3)</f>
        <v>17.6421936859333</v>
      </c>
      <c r="T15" s="20" t="n">
        <f aca="false">(T14-S14)/(T3-S3)</f>
        <v>20.4825448415264</v>
      </c>
      <c r="U15" s="20" t="n">
        <f aca="false">(U14-T14)/(U3-T3)</f>
        <v>28.2311191597533</v>
      </c>
      <c r="V15" s="20" t="n">
        <f aca="false">(V14-U14)/(V3-U3)</f>
        <v>20.7373256495686</v>
      </c>
      <c r="W15" s="20" t="n">
        <f aca="false">(W14-V14)/(W3-V3)</f>
        <v>22.7272954248643</v>
      </c>
      <c r="X15" s="20" t="n">
        <f aca="false">(X14-W14)/(X3-W3)</f>
        <v>51.3212871894389</v>
      </c>
      <c r="Y15" s="20" t="n">
        <f aca="false">(Y14-X14)/(Y3-X3)</f>
        <v>35.369096203932</v>
      </c>
      <c r="Z15" s="20" t="n">
        <f aca="false">(Z14-Y14)/(Z3-Y3)</f>
        <v>25.7614189674884</v>
      </c>
      <c r="AA15" s="20" t="n">
        <f aca="false">(AA14-Z14)/(AA3-Z3)</f>
        <v>36.3971159044551</v>
      </c>
      <c r="AB15" s="20" t="n">
        <f aca="false">(AB14-AA14)/(AB3-AA3)</f>
        <v>36.9630956016633</v>
      </c>
      <c r="AC15" s="20" t="n">
        <f aca="false">(AC14-AB14)/(AC3-AB3)</f>
        <v>31.5701627229107</v>
      </c>
      <c r="AD15" s="20" t="n">
        <f aca="false">(AD14-AC14)/(AD3-AC3)</f>
        <v>54.4432233479986</v>
      </c>
      <c r="AE15" s="20" t="n">
        <f aca="false">(AE14-AD14)/(AE3-AD3)</f>
        <v>113.505836558668</v>
      </c>
      <c r="AF15" s="20" t="n">
        <f aca="false">(AF14-AE14)/(AF3-AE3)</f>
        <v>29.4747054446325</v>
      </c>
      <c r="AG15" s="20" t="n">
        <f aca="false">(AG14-AF14)/(AG3-AF3)</f>
        <v>72.2948938642668</v>
      </c>
      <c r="AH15" s="20" t="n">
        <f aca="false">(AH14-AG14)/(AH3-AG3)</f>
        <v>45.9265182557609</v>
      </c>
      <c r="AI15" s="20" t="n">
        <f aca="false">(AI14-AH14)/(AI3-AH3)</f>
        <v>63.0328551443888</v>
      </c>
      <c r="AJ15" s="20" t="n">
        <f aca="false">(AJ14-AI14)/(AJ3-AI3)</f>
        <v>42.2210681405782</v>
      </c>
      <c r="AK15" s="20" t="n">
        <f aca="false">(AK14-AJ14)/(AK3-AJ3)</f>
        <v>108.236826955426</v>
      </c>
      <c r="AL15" s="20" t="n">
        <f aca="false">(AL14-AK14)/(AL3-AK3)</f>
        <v>68.8895172901983</v>
      </c>
      <c r="AM15" s="20" t="n">
        <f aca="false">(AM14-AL14)/(AM3-AL3)</f>
        <v>98.9763728318095</v>
      </c>
      <c r="AN15" s="20" t="n">
        <f aca="false">(AN14-AM14)/(AN3-AM3)</f>
        <v>120.714128409869</v>
      </c>
      <c r="AO15" s="20" t="n">
        <f aca="false">(AO14-AN14)/(AO3-AN3)</f>
        <v>123.03847411576</v>
      </c>
      <c r="AP15" s="20" t="n">
        <f aca="false">(AP14-AO14)/(AP3-AO3)</f>
        <v>162.910102584335</v>
      </c>
      <c r="AQ15" s="20" t="n">
        <f aca="false">(AQ14-AP14)/(AQ3-AP3)</f>
        <v>130.49123673789</v>
      </c>
      <c r="AR15" s="20" t="n">
        <f aca="false">(AR14-AQ14)/(AR3-AQ3)</f>
        <v>175.297833460932</v>
      </c>
      <c r="AS15" s="20" t="n">
        <f aca="false">(AS14-AR14)/(AS3-AR3)</f>
        <v>201.604079950289</v>
      </c>
      <c r="AT15" s="20" t="n">
        <f aca="false">(AT14-AS14)/(AT3-AS3)</f>
        <v>250.534368959648</v>
      </c>
      <c r="AU15" s="20" t="n">
        <f aca="false">(AU14-AT14)/(AU3-AT3)</f>
        <v>108.807072030504</v>
      </c>
      <c r="AV15" s="20" t="n">
        <f aca="false">(AV14-AU14)/(AV3-AU3)</f>
        <v>122.421951380865</v>
      </c>
      <c r="AW15" s="20" t="n">
        <f aca="false">(AW14-AV14)/(AW3-AV3)</f>
        <v>127.643484794531</v>
      </c>
      <c r="AX15" s="20" t="n">
        <f aca="false">(AX14-AW14)/(AX3-AW3)</f>
        <v>182.796114131485</v>
      </c>
      <c r="AY15" s="20" t="n">
        <f aca="false">(AY14-AX14)/(AY3-AX3)</f>
        <v>138.840311811913</v>
      </c>
      <c r="AZ15" s="20" t="n">
        <f aca="false">(AZ14-AY14)/(AZ3-AY3)</f>
        <v>89.4369679798031</v>
      </c>
      <c r="BA15" s="20" t="n">
        <f aca="false">(BA14-AZ14)/(BA3-AZ3)</f>
        <v>176.138491283285</v>
      </c>
      <c r="BB15" s="20" t="n">
        <f aca="false">(BB14-BA14)/(BB3-BA3)</f>
        <v>206.672388397541</v>
      </c>
      <c r="BC15" s="20" t="n">
        <f aca="false">(BC14-BB14)/(BC3-BB3)</f>
        <v>149.769445284728</v>
      </c>
    </row>
    <row r="16" s="20" customFormat="true" ht="14.3" hidden="false" customHeight="false" outlineLevel="0" collapsed="false">
      <c r="A16" s="20" t="s">
        <v>41</v>
      </c>
      <c r="C16" s="20" t="n">
        <f aca="false">(C15-B15)/(C3-B3)</f>
        <v>1996.32053165508</v>
      </c>
      <c r="D16" s="20" t="n">
        <f aca="false">(D15-C15)/(D3-C3)</f>
        <v>-373.748595772245</v>
      </c>
      <c r="E16" s="20" t="n">
        <f aca="false">(E15-D15)/(E3-D3)</f>
        <v>707.835490264812</v>
      </c>
      <c r="F16" s="20" t="n">
        <f aca="false">(F15-E15)/(F3-E3)</f>
        <v>-155.50266834847</v>
      </c>
      <c r="G16" s="20" t="n">
        <f aca="false">(G15-F15)/(G3-F3)</f>
        <v>975.614175154746</v>
      </c>
      <c r="H16" s="20" t="n">
        <f aca="false">(H15-G15)/(H3-G3)</f>
        <v>-222.00639015946</v>
      </c>
      <c r="I16" s="20" t="n">
        <f aca="false">(I15-H15)/(I3-H3)</f>
        <v>1669.97728153812</v>
      </c>
      <c r="J16" s="20" t="n">
        <f aca="false">(J15-I15)/(J3-I3)</f>
        <v>-424.92786570482</v>
      </c>
      <c r="K16" s="20" t="n">
        <f aca="false">(K15-J15)/(K3-J3)</f>
        <v>13.1755771892622</v>
      </c>
      <c r="L16" s="20" t="n">
        <f aca="false">(L15-K15)/(L3-K3)</f>
        <v>-49.6207564086255</v>
      </c>
      <c r="M16" s="20" t="n">
        <f aca="false">(M15-L15)/(M3-L3)</f>
        <v>529.546476467375</v>
      </c>
      <c r="N16" s="20" t="n">
        <f aca="false">(N15-M15)/(N3-M3)</f>
        <v>-141.795914646444</v>
      </c>
      <c r="O16" s="20" t="n">
        <f aca="false">(O15-N15)/(O3-N3)</f>
        <v>320.273503626991</v>
      </c>
      <c r="P16" s="20" t="n">
        <f aca="false">(P15-O15)/(P3-O3)</f>
        <v>-39.88805895703</v>
      </c>
      <c r="Q16" s="20" t="n">
        <f aca="false">(Q15-P15)/(Q3-P3)</f>
        <v>382.753052779549</v>
      </c>
      <c r="R16" s="20" t="n">
        <f aca="false">(R15-Q15)/(R3-Q3)</f>
        <v>-256.262931162876</v>
      </c>
      <c r="S16" s="20" t="n">
        <f aca="false">(S15-R15)/(S3-R3)</f>
        <v>141.825956719868</v>
      </c>
      <c r="T16" s="20" t="n">
        <f aca="false">(T15-S15)/(T3-S3)</f>
        <v>58.3234622767703</v>
      </c>
      <c r="U16" s="20" t="n">
        <f aca="false">(U15-T15)/(U3-T3)</f>
        <v>202.313077612174</v>
      </c>
      <c r="V16" s="20" t="n">
        <f aca="false">(V15-U15)/(V3-U3)</f>
        <v>-115.111904965736</v>
      </c>
      <c r="W16" s="20" t="n">
        <f aca="false">(W15-V15)/(W3-V3)</f>
        <v>30.6621291958475</v>
      </c>
      <c r="X16" s="20" t="n">
        <f aca="false">(X15-W15)/(X3-W3)</f>
        <v>714.848345432787</v>
      </c>
      <c r="Y16" s="20" t="n">
        <f aca="false">(Y15-X15)/(Y3-X3)</f>
        <v>-265.870103311937</v>
      </c>
      <c r="Z16" s="20" t="n">
        <f aca="false">(Z15-Y15)/(Z3-Y3)</f>
        <v>-121.924710830105</v>
      </c>
      <c r="AA16" s="20" t="n">
        <f aca="false">(AA15-Z15)/(AA3-Z3)</f>
        <v>173.78617172206</v>
      </c>
      <c r="AB16" s="20" t="n">
        <f aca="false">(AB15-AA15)/(AB3-AA3)</f>
        <v>8.68065816571233</v>
      </c>
      <c r="AC16" s="20" t="n">
        <f aca="false">(AC15-AB15)/(AC3-AB3)</f>
        <v>-101.753501808759</v>
      </c>
      <c r="AD16" s="20" t="n">
        <f aca="false">(AD15-AC15)/(AD3-AC3)</f>
        <v>269.72947272961</v>
      </c>
      <c r="AE16" s="20" t="n">
        <f aca="false">(AE15-AD15)/(AE3-AD3)</f>
        <v>1851.49669531656</v>
      </c>
      <c r="AF16" s="20" t="n">
        <f aca="false">(AF15-AE15)/(AF3-AE3)</f>
        <v>-817.422413999247</v>
      </c>
      <c r="AG16" s="20" t="n">
        <f aca="false">(AG15-AF15)/(AG3-AF3)</f>
        <v>698.537153627726</v>
      </c>
      <c r="AH16" s="20" t="n">
        <f aca="false">(AH15-AG15)/(AH3-AG3)</f>
        <v>-265.810210390578</v>
      </c>
      <c r="AI16" s="20" t="n">
        <f aca="false">(AI15-AH15)/(AI3-AH3)</f>
        <v>238.249838909115</v>
      </c>
      <c r="AJ16" s="20" t="n">
        <f aca="false">(AJ15-AI15)/(AJ3-AI3)</f>
        <v>-184.665001358645</v>
      </c>
      <c r="AK16" s="20" t="n">
        <f aca="false">(AK15-AJ15)/(AK3-AJ3)</f>
        <v>697.105139124249</v>
      </c>
      <c r="AL16" s="20" t="n">
        <f aca="false">(AL15-AK15)/(AL3-AK3)</f>
        <v>-462.36591625395</v>
      </c>
      <c r="AM16" s="20" t="n">
        <f aca="false">(AM15-AL15)/(AM3-AL3)</f>
        <v>388.216965368138</v>
      </c>
      <c r="AN16" s="20" t="n">
        <f aca="false">(AN15-AM15)/(AN3-AM3)</f>
        <v>288.299621097482</v>
      </c>
      <c r="AO16" s="20" t="n">
        <f aca="false">(AO15-AN15)/(AO3-AN3)</f>
        <v>27.2171295208693</v>
      </c>
      <c r="AP16" s="20" t="n">
        <f aca="false">(AP15-AO15)/(AP3-AO3)</f>
        <v>365.124800274792</v>
      </c>
      <c r="AQ16" s="20" t="n">
        <f aca="false">(AQ15-AP15)/(AQ3-AP3)</f>
        <v>-219.046388031399</v>
      </c>
      <c r="AR16" s="20" t="n">
        <f aca="false">(AR15-AQ15)/(AR3-AQ3)</f>
        <v>400.058940190647</v>
      </c>
      <c r="AS16" s="20" t="n">
        <f aca="false">(AS15-AR15)/(AS3-AR3)</f>
        <v>280.749899175321</v>
      </c>
      <c r="AT16" s="20" t="n">
        <f aca="false">(AT15-AS15)/(AT3-AS3)</f>
        <v>509.159648284836</v>
      </c>
      <c r="AU16" s="20" t="n">
        <f aca="false">(AU15-AT15)/(AU3-AT3)</f>
        <v>-1088.53606572281</v>
      </c>
      <c r="AV16" s="20" t="n">
        <f aca="false">(AV15-AU15)/(AV3-AU3)</f>
        <v>106.616050989679</v>
      </c>
      <c r="AW16" s="20" t="n">
        <f aca="false">(AW15-AV15)/(AW3-AV3)</f>
        <v>36.6938066232269</v>
      </c>
      <c r="AX16" s="20" t="n">
        <f aca="false">(AX15-AW15)/(AX3-AW3)</f>
        <v>445.498530273251</v>
      </c>
      <c r="AY16" s="20" t="n">
        <f aca="false">(AY15-AX15)/(AY3-AX3)</f>
        <v>-325.116824187827</v>
      </c>
      <c r="AZ16" s="20" t="n">
        <f aca="false">(AZ15-AY15)/(AZ3-AY3)</f>
        <v>-327.174412872067</v>
      </c>
      <c r="BA16" s="20" t="n">
        <f aca="false">(BA15-AZ15)/(BA3-AZ3)</f>
        <v>589.405438080666</v>
      </c>
      <c r="BB16" s="20" t="n">
        <f aca="false">(BB15-BA15)/(BB3-BA3)</f>
        <v>248.445035310612</v>
      </c>
      <c r="BC16" s="20" t="n">
        <f aca="false">(BC15-BB15)/(BC3-BB3)</f>
        <v>-328.160136382421</v>
      </c>
    </row>
    <row r="17" s="16" customFormat="true" ht="14.3" hidden="false" customHeight="false" outlineLevel="0" collapsed="false">
      <c r="A17" s="16" t="s">
        <v>42</v>
      </c>
      <c r="B17" s="16" t="n">
        <f aca="false">EXP(B3/$B$18)</f>
        <v>1.20623025116042</v>
      </c>
      <c r="C17" s="16" t="n">
        <f aca="false">EXP(C3/$B$18)</f>
        <v>1.20866461784186</v>
      </c>
      <c r="D17" s="16" t="n">
        <f aca="false">EXP(D3/$B$18)</f>
        <v>1.22019672752176</v>
      </c>
      <c r="E17" s="16" t="n">
        <f aca="false">EXP(E3/$B$18)</f>
        <v>1.22337435217657</v>
      </c>
      <c r="F17" s="16" t="n">
        <f aca="false">EXP(F3/$B$18)</f>
        <v>1.23793859600787</v>
      </c>
      <c r="G17" s="16" t="n">
        <f aca="false">EXP(G3/$B$18)</f>
        <v>1.24143772803677</v>
      </c>
      <c r="H17" s="16" t="n">
        <f aca="false">EXP(H3/$B$18)</f>
        <v>1.25540683120132</v>
      </c>
      <c r="I17" s="16" t="n">
        <f aca="false">EXP(I3/$B$18)</f>
        <v>1.25847315032447</v>
      </c>
      <c r="J17" s="16" t="n">
        <f aca="false">EXP(J3/$B$18)</f>
        <v>1.26868873349988</v>
      </c>
      <c r="K17" s="16" t="n">
        <f aca="false">EXP(K3/$B$18)</f>
        <v>1.27888411473137</v>
      </c>
      <c r="L17" s="16" t="n">
        <f aca="false">EXP(L3/$B$18)</f>
        <v>1.29442231958179</v>
      </c>
      <c r="M17" s="16" t="n">
        <f aca="false">EXP(M3/$B$18)</f>
        <v>1.30020266676835</v>
      </c>
      <c r="N17" s="16" t="n">
        <f aca="false">EXP(N3/$B$18)</f>
        <v>1.31621219846552</v>
      </c>
      <c r="O17" s="16" t="n">
        <f aca="false">EXP(O3/$B$18)</f>
        <v>1.32473132710746</v>
      </c>
      <c r="P17" s="16" t="n">
        <f aca="false">EXP(P3/$B$18)</f>
        <v>1.33955667449093</v>
      </c>
      <c r="Q17" s="16" t="n">
        <f aca="false">EXP(Q3/$B$18)</f>
        <v>1.34771055180799</v>
      </c>
      <c r="R17" s="16" t="n">
        <f aca="false">EXP(R3/$B$18)</f>
        <v>1.36609409360152</v>
      </c>
      <c r="S17" s="16" t="n">
        <f aca="false">EXP(S3/$B$18)</f>
        <v>1.37873907236406</v>
      </c>
      <c r="T17" s="16" t="n">
        <f aca="false">EXP(T3/$B$18)</f>
        <v>1.39234295759353</v>
      </c>
      <c r="U17" s="16" t="n">
        <f aca="false">EXP(U3/$B$18)</f>
        <v>1.40313590919316</v>
      </c>
      <c r="V17" s="16" t="n">
        <f aca="false">EXP(V3/$B$18)</f>
        <v>1.42167347568544</v>
      </c>
      <c r="W17" s="16" t="n">
        <f aca="false">EXP(W3/$B$18)</f>
        <v>1.44039782573188</v>
      </c>
      <c r="X17" s="16" t="n">
        <f aca="false">EXP(X3/$B$18)</f>
        <v>1.4520609262863</v>
      </c>
      <c r="Y17" s="16" t="n">
        <f aca="false">EXP(Y3/$B$18)</f>
        <v>1.46973283361353</v>
      </c>
      <c r="Z17" s="16" t="n">
        <f aca="false">EXP(Z3/$B$18)</f>
        <v>1.49326911245243</v>
      </c>
      <c r="AA17" s="16" t="n">
        <f aca="false">EXP(AA3/$B$18)</f>
        <v>1.51180823649526</v>
      </c>
      <c r="AB17" s="16" t="n">
        <f aca="false">EXP(AB3/$B$18)</f>
        <v>1.53181241838925</v>
      </c>
      <c r="AC17" s="16" t="n">
        <f aca="false">EXP(AC3/$B$18)</f>
        <v>1.5482683301009</v>
      </c>
      <c r="AD17" s="16" t="n">
        <f aca="false">EXP(AD3/$B$18)</f>
        <v>1.57496629995978</v>
      </c>
      <c r="AE17" s="16" t="n">
        <f aca="false">EXP(AE3/$B$18)</f>
        <v>1.58512823989199</v>
      </c>
      <c r="AF17" s="16" t="n">
        <f aca="false">EXP(AF3/$B$18)</f>
        <v>1.61832416106973</v>
      </c>
      <c r="AG17" s="16" t="n">
        <f aca="false">EXP(AG3/$B$18)</f>
        <v>1.63844885829996</v>
      </c>
      <c r="AH17" s="16" t="n">
        <f aca="false">EXP(AH3/$B$18)</f>
        <v>1.67154772427398</v>
      </c>
      <c r="AI17" s="16" t="n">
        <f aca="false">EXP(AI3/$B$18)</f>
        <v>1.69592070708514</v>
      </c>
      <c r="AJ17" s="16" t="n">
        <f aca="false">EXP(AJ3/$B$18)</f>
        <v>1.73489623157222</v>
      </c>
      <c r="AK17" s="16" t="n">
        <f aca="false">EXP(AK3/$B$18)</f>
        <v>1.76833834294594</v>
      </c>
      <c r="AL17" s="16" t="n">
        <f aca="false">EXP(AL3/$B$18)</f>
        <v>1.79893992600563</v>
      </c>
      <c r="AM17" s="16" t="n">
        <f aca="false">EXP(AM3/$B$18)</f>
        <v>1.82726914637212</v>
      </c>
      <c r="AN17" s="16" t="n">
        <f aca="false">EXP(AN3/$B$18)</f>
        <v>1.85525874294301</v>
      </c>
      <c r="AO17" s="16" t="n">
        <f aca="false">EXP(AO3/$B$18)</f>
        <v>1.88747873038494</v>
      </c>
      <c r="AP17" s="16" t="n">
        <f aca="false">EXP(AP3/$B$18)</f>
        <v>1.92949452138135</v>
      </c>
      <c r="AQ17" s="16" t="n">
        <f aca="false">EXP(AQ3/$B$18)</f>
        <v>1.98793571790822</v>
      </c>
      <c r="AR17" s="16" t="n">
        <f aca="false">EXP(AR3/$B$18)</f>
        <v>2.0333352304306</v>
      </c>
      <c r="AS17" s="16" t="n">
        <f aca="false">EXP(AS3/$B$18)</f>
        <v>2.07211231881802</v>
      </c>
      <c r="AT17" s="16" t="n">
        <f aca="false">EXP(AT3/$B$18)</f>
        <v>2.11265098394873</v>
      </c>
      <c r="AU17" s="16" t="n">
        <f aca="false">EXP(AU3/$B$18)</f>
        <v>2.16884231777863</v>
      </c>
      <c r="AV17" s="16" t="n">
        <f aca="false">EXP(AV3/$B$18)</f>
        <v>2.22540632528673</v>
      </c>
      <c r="AW17" s="16" t="n">
        <f aca="false">EXP(AW3/$B$18)</f>
        <v>2.29017689011878</v>
      </c>
      <c r="AX17" s="16" t="n">
        <f aca="false">EXP(AX3/$B$18)</f>
        <v>2.34805821816826</v>
      </c>
      <c r="AY17" s="16" t="n">
        <f aca="false">EXP(AY3/$B$18)</f>
        <v>2.41294203824186</v>
      </c>
      <c r="AZ17" s="16" t="n">
        <f aca="false">EXP(AZ3/$B$18)</f>
        <v>2.48753017028584</v>
      </c>
      <c r="BA17" s="16" t="n">
        <f aca="false">EXP(BA3/$B$18)</f>
        <v>2.56240833241461</v>
      </c>
      <c r="BB17" s="16" t="n">
        <f aca="false">EXP(BB3/$B$18)</f>
        <v>2.62669341561787</v>
      </c>
      <c r="BC17" s="16" t="n">
        <f aca="false">EXP(BC3/$B$18)</f>
        <v>2.72014574367487</v>
      </c>
    </row>
    <row r="18" s="11" customFormat="true" ht="14.3" hidden="false" customHeight="false" outlineLevel="0" collapsed="false">
      <c r="A18" s="11" t="s">
        <v>43</v>
      </c>
      <c r="B18" s="11" t="n">
        <v>4.96</v>
      </c>
      <c r="C18" s="11" t="s">
        <v>44</v>
      </c>
    </row>
    <row r="19" customFormat="false" ht="14.3" hidden="false" customHeight="false" outlineLevel="0" collapsed="false">
      <c r="A19" s="11" t="s">
        <v>45</v>
      </c>
      <c r="B19" s="21" t="n">
        <v>2.71828</v>
      </c>
      <c r="D19" s="1" t="s">
        <v>46</v>
      </c>
      <c r="E19" s="1" t="s">
        <v>47</v>
      </c>
      <c r="F19" s="21" t="n">
        <v>2.71828</v>
      </c>
      <c r="H19" s="1" t="s">
        <v>48</v>
      </c>
    </row>
    <row r="20" customFormat="false" ht="14.3" hidden="false" customHeight="false" outlineLevel="0" collapsed="false">
      <c r="A20" s="1" t="s">
        <v>49</v>
      </c>
      <c r="B20" s="1" t="n">
        <v>0.9200000166893</v>
      </c>
      <c r="C20" s="1" t="n">
        <v>0.949999988079071</v>
      </c>
      <c r="D20" s="1" t="n">
        <v>0.980000019073486</v>
      </c>
      <c r="E20" s="1" t="n">
        <v>1.00999999046326</v>
      </c>
      <c r="F20" s="1" t="n">
        <v>1.04999995231628</v>
      </c>
      <c r="G20" s="1" t="n">
        <v>1.08000004291534</v>
      </c>
      <c r="H20" s="1" t="n">
        <v>1.12000000476837</v>
      </c>
      <c r="I20" s="1" t="n">
        <v>1.14999997615814</v>
      </c>
      <c r="J20" s="1" t="n">
        <v>1.19000005722046</v>
      </c>
      <c r="K20" s="1" t="n">
        <v>1.23000001907349</v>
      </c>
      <c r="L20" s="1" t="n">
        <v>1.26999998092651</v>
      </c>
      <c r="M20" s="1" t="n">
        <v>1.30999994277954</v>
      </c>
      <c r="N20" s="1" t="n">
        <v>1.36000001430512</v>
      </c>
      <c r="O20" s="1" t="n">
        <v>1.39999997615814</v>
      </c>
      <c r="P20" s="1" t="n">
        <v>1.44000005722046</v>
      </c>
      <c r="Q20" s="1" t="n">
        <v>1.49000000953674</v>
      </c>
      <c r="R20" s="1" t="n">
        <v>1.53999996185303</v>
      </c>
      <c r="S20" s="1" t="n">
        <v>1.5900000333786</v>
      </c>
      <c r="T20" s="1" t="n">
        <v>1.63999998569489</v>
      </c>
      <c r="U20" s="1" t="n">
        <v>1.69000005722046</v>
      </c>
      <c r="V20" s="1" t="n">
        <v>1.75</v>
      </c>
      <c r="W20" s="1" t="n">
        <v>1.79999995231628</v>
      </c>
      <c r="X20" s="1" t="n">
        <v>1.86000001430512</v>
      </c>
      <c r="Y20" s="1" t="n">
        <v>1.91999995708466</v>
      </c>
      <c r="Z20" s="1" t="n">
        <v>1.98000001907349</v>
      </c>
      <c r="AA20" s="1" t="n">
        <v>2.03999996185303</v>
      </c>
      <c r="AB20" s="1" t="n">
        <v>2.10999989509583</v>
      </c>
      <c r="AC20" s="1" t="n">
        <v>2.17000007629394</v>
      </c>
      <c r="AD20" s="1" t="n">
        <v>2.24000000953674</v>
      </c>
      <c r="AE20" s="1" t="n">
        <v>2.3199999332428</v>
      </c>
      <c r="AF20" s="1" t="n">
        <v>2.39000010490417</v>
      </c>
      <c r="AG20" s="1" t="n">
        <v>2.47000002861023</v>
      </c>
      <c r="AH20" s="1" t="n">
        <v>2.54999995231628</v>
      </c>
      <c r="AI20" s="1" t="n">
        <v>2.63000011444092</v>
      </c>
      <c r="AJ20" s="1" t="n">
        <v>2.73710012435913</v>
      </c>
      <c r="AK20" s="1" t="n">
        <v>2.8199999332428</v>
      </c>
      <c r="AL20" s="1" t="n">
        <v>2.91000008583069</v>
      </c>
      <c r="AM20" s="1" t="n">
        <v>2.98000001907349</v>
      </c>
      <c r="AN20" s="1" t="n">
        <v>3.0699999332428</v>
      </c>
      <c r="AO20" s="1" t="n">
        <v>3.16000008583069</v>
      </c>
      <c r="AP20" s="1" t="n">
        <v>3.26999998092651</v>
      </c>
      <c r="AQ20" s="1" t="n">
        <v>3.40000009536743</v>
      </c>
      <c r="AR20" s="1" t="n">
        <v>3.50999999046326</v>
      </c>
      <c r="AS20" s="1" t="n">
        <v>3.60999989509583</v>
      </c>
      <c r="AT20" s="1" t="n">
        <v>3.71000003814697</v>
      </c>
      <c r="AU20" s="1" t="n">
        <v>3.84999990463257</v>
      </c>
      <c r="AV20" s="1" t="n">
        <v>3.97499990463257</v>
      </c>
      <c r="AW20" s="1" t="n">
        <v>4.09999990463257</v>
      </c>
      <c r="AX20" s="1" t="n">
        <v>4.23999977111816</v>
      </c>
      <c r="AY20" s="1" t="n">
        <v>4.3600001335144</v>
      </c>
      <c r="AZ20" s="1" t="n">
        <v>4.51000022888184</v>
      </c>
      <c r="BA20" s="1" t="n">
        <v>4.67000007629395</v>
      </c>
      <c r="BB20" s="1" t="n">
        <v>4.80000019073486</v>
      </c>
      <c r="BC20" s="1" t="n">
        <v>4.96000003814697</v>
      </c>
    </row>
    <row r="21" customFormat="false" ht="14.3" hidden="false" customHeight="false" outlineLevel="0" collapsed="false">
      <c r="B21" s="1" t="n">
        <v>1.18353116512299</v>
      </c>
      <c r="C21" s="1" t="n">
        <v>1.2837837934494</v>
      </c>
      <c r="D21" s="1" t="n">
        <v>1.43429636955261</v>
      </c>
      <c r="E21" s="1" t="n">
        <v>1.59366250038147</v>
      </c>
      <c r="F21" s="1" t="n">
        <v>1.6990213394165</v>
      </c>
      <c r="G21" s="1" t="n">
        <v>1.90088522434235</v>
      </c>
      <c r="H21" s="1" t="n">
        <v>2.34268403053284</v>
      </c>
      <c r="I21" s="1" t="n">
        <v>2.53694009780884</v>
      </c>
      <c r="J21" s="1" t="n">
        <v>2.94034647941589</v>
      </c>
      <c r="K21" s="1" t="n">
        <v>3.82613492012024</v>
      </c>
      <c r="L21" s="1" t="n">
        <v>4.00314044952393</v>
      </c>
      <c r="M21" s="1" t="n">
        <v>4.45313119888306</v>
      </c>
      <c r="N21" s="1" t="n">
        <v>5.07407999038696</v>
      </c>
      <c r="O21" s="1" t="n">
        <v>5.81383800506592</v>
      </c>
      <c r="P21" s="1" t="n">
        <v>6.50241231918335</v>
      </c>
      <c r="Q21" s="1" t="n">
        <v>7.23009967803955</v>
      </c>
      <c r="R21" s="1" t="n">
        <v>7.88663291931152</v>
      </c>
      <c r="S21" s="1" t="n">
        <v>9.18105697631836</v>
      </c>
      <c r="T21" s="1" t="n">
        <v>9.96461582183838</v>
      </c>
      <c r="U21" s="1" t="n">
        <v>11.0771064758301</v>
      </c>
      <c r="V21" s="1" t="n">
        <v>12.5194597244263</v>
      </c>
      <c r="W21" s="1" t="n">
        <v>14.60618019104</v>
      </c>
      <c r="X21" s="1" t="n">
        <v>15.4889888763428</v>
      </c>
      <c r="Y21" s="1" t="n">
        <v>17.1934223175049</v>
      </c>
      <c r="Z21" s="1" t="n">
        <v>19.4904289245606</v>
      </c>
      <c r="AA21" s="1" t="n">
        <v>21.8512001037598</v>
      </c>
      <c r="AB21" s="1" t="n">
        <v>24.1824588775635</v>
      </c>
      <c r="AC21" s="1" t="n">
        <v>26.7785739898682</v>
      </c>
      <c r="AD21" s="1" t="n">
        <v>30.1824131011963</v>
      </c>
      <c r="AE21" s="1" t="n">
        <v>31.9697685241699</v>
      </c>
      <c r="AF21" s="1" t="n">
        <v>36.794303894043</v>
      </c>
      <c r="AG21" s="1" t="n">
        <v>40.9753189086914</v>
      </c>
      <c r="AH21" s="1" t="n">
        <v>47.0529289245606</v>
      </c>
      <c r="AI21" s="1" t="n">
        <v>52.8632698059082</v>
      </c>
      <c r="AJ21" s="1" t="n">
        <v>61.7400016784668</v>
      </c>
      <c r="AK21" s="1" t="n">
        <v>70.6900024414063</v>
      </c>
      <c r="AL21" s="1" t="n">
        <v>78.5400009155273</v>
      </c>
      <c r="AM21" s="1" t="n">
        <v>86.8399963378906</v>
      </c>
      <c r="AN21" s="1" t="n">
        <v>94.7363586425781</v>
      </c>
      <c r="AO21" s="1" t="n">
        <v>105.176803588867</v>
      </c>
      <c r="AP21" s="1" t="n">
        <v>118.453674316406</v>
      </c>
      <c r="AQ21" s="1" t="n">
        <v>140</v>
      </c>
      <c r="AR21" s="1" t="n">
        <v>156.059204101563</v>
      </c>
      <c r="AS21" s="1" t="n">
        <v>170.820449829102</v>
      </c>
      <c r="AT21" s="1" t="n">
        <v>187.086959838867</v>
      </c>
      <c r="AU21" s="1" t="n">
        <v>209.804107666016</v>
      </c>
      <c r="AV21" s="1" t="n">
        <v>234.766662597656</v>
      </c>
      <c r="AW21" s="1" t="n">
        <v>262.958618164062</v>
      </c>
      <c r="AX21" s="1" t="n">
        <v>288.915008544922</v>
      </c>
      <c r="AY21" s="1" t="n">
        <v>316.819732666016</v>
      </c>
      <c r="AZ21" s="1" t="n">
        <v>349.429290771484</v>
      </c>
      <c r="BA21" s="1" t="n">
        <v>379.2666015625</v>
      </c>
      <c r="BB21" s="1" t="n">
        <v>404.859222412109</v>
      </c>
      <c r="BC21" s="1" t="n">
        <v>440.614990234375</v>
      </c>
    </row>
    <row r="22" customFormat="false" ht="14.3" hidden="false" customHeight="false" outlineLevel="0" collapsed="false">
      <c r="C22" s="9" t="n">
        <f aca="false">(C21-B21)/(C20-B20)</f>
        <v>3.3417574644952</v>
      </c>
      <c r="D22" s="9" t="n">
        <f aca="false">(D21-C21)/(D20-C20)</f>
        <v>5.01708068672431</v>
      </c>
      <c r="E22" s="9" t="n">
        <f aca="false">(E21-D21)/(E20-D20)</f>
        <v>5.31220942707908</v>
      </c>
      <c r="F22" s="9" t="n">
        <f aca="false">(F21-E21)/(F20-E20)</f>
        <v>2.6339734878291</v>
      </c>
      <c r="G22" s="9" t="n">
        <f aca="false">(G21-F21)/(G20-F20)</f>
        <v>6.72877584350278</v>
      </c>
      <c r="H22" s="9" t="n">
        <f aca="false">(H21-G21)/(H20-G20)</f>
        <v>11.0449806880759</v>
      </c>
      <c r="I22" s="9" t="n">
        <f aca="false">(I21-H21)/(I20-H20)</f>
        <v>6.47520841777339</v>
      </c>
      <c r="J22" s="9" t="n">
        <f aca="false">(J21-I21)/(J20-I20)</f>
        <v>10.0851391020569</v>
      </c>
      <c r="K22" s="9" t="n">
        <f aca="false">(K21-J21)/(K20-J20)</f>
        <v>22.1447321364696</v>
      </c>
      <c r="L22" s="9" t="n">
        <f aca="false">(L21-K21)/(L20-K20)</f>
        <v>4.42514245523779</v>
      </c>
      <c r="M22" s="9" t="n">
        <f aca="false">(M21-L21)/(M20-L20)</f>
        <v>11.2497794626032</v>
      </c>
      <c r="N22" s="9" t="n">
        <f aca="false">(N21-M21)/(N20-M20)</f>
        <v>12.4189580646144</v>
      </c>
      <c r="O22" s="9" t="n">
        <f aca="false">(O21-N21)/(O20-N20)</f>
        <v>18.4939680041997</v>
      </c>
      <c r="P22" s="9" t="n">
        <f aca="false">(P21-O21)/(P20-O20)</f>
        <v>17.2143229671118</v>
      </c>
      <c r="Q22" s="9" t="n">
        <f aca="false">(Q21-P21)/(Q20-P20)</f>
        <v>14.5537610566734</v>
      </c>
      <c r="R22" s="9" t="n">
        <f aca="false">(R21-Q21)/(R20-Q20)</f>
        <v>13.1306773478276</v>
      </c>
      <c r="S22" s="9" t="n">
        <f aca="false">(S21-R21)/(S20-R20)</f>
        <v>25.8884441064224</v>
      </c>
      <c r="T22" s="9" t="n">
        <f aca="false">(T21-S21)/(T20-S20)</f>
        <v>15.6711918556118</v>
      </c>
      <c r="U22" s="9" t="n">
        <f aca="false">(U21-T21)/(U20-T20)</f>
        <v>22.2497812512686</v>
      </c>
      <c r="V22" s="9" t="n">
        <f aca="false">(V21-U21)/(V20-U20)</f>
        <v>24.0392437355465</v>
      </c>
      <c r="W22" s="9" t="n">
        <f aca="false">(W21-V21)/(W20-V20)</f>
        <v>41.7344491333498</v>
      </c>
      <c r="X22" s="9" t="n">
        <f aca="false">(X21-W21)/(X20-W20)</f>
        <v>14.713462887205</v>
      </c>
      <c r="Y22" s="9" t="n">
        <f aca="false">(Y21-X21)/(Y20-X20)</f>
        <v>28.4072511106347</v>
      </c>
      <c r="Z22" s="9" t="n">
        <f aca="false">(Z21-Y21)/(Z20-Y20)</f>
        <v>38.283403898538</v>
      </c>
      <c r="AA22" s="9" t="n">
        <f aca="false">(AA21-Z21)/(AA20-Z20)</f>
        <v>39.3462238434705</v>
      </c>
      <c r="AB22" s="9" t="n">
        <f aca="false">(AB21-AA21)/(AB20-AA20)</f>
        <v>33.3037285295338</v>
      </c>
      <c r="AC22" s="9" t="n">
        <f aca="false">(AC21-AB21)/(AC20-AB20)</f>
        <v>43.2684545357086</v>
      </c>
      <c r="AD22" s="9" t="n">
        <f aca="false">(AD21-AC21)/(AD20-AC20)</f>
        <v>48.6263193926432</v>
      </c>
      <c r="AE22" s="9" t="n">
        <f aca="false">(AE21-AD21)/(AE20-AD20)</f>
        <v>22.3419640941259</v>
      </c>
      <c r="AF22" s="9" t="n">
        <f aca="false">(AF21-AE21)/(AF20-AE20)</f>
        <v>68.9217648381219</v>
      </c>
      <c r="AG22" s="9" t="n">
        <f aca="false">(AG21-AF21)/(AG20-AF20)</f>
        <v>52.262737524732</v>
      </c>
      <c r="AH22" s="9" t="n">
        <f aca="false">(AH21-AG21)/(AH20-AG20)</f>
        <v>75.9701976491955</v>
      </c>
      <c r="AI22" s="9" t="n">
        <f aca="false">(AI21-AH21)/(AI20-AH20)</f>
        <v>72.6291138297334</v>
      </c>
      <c r="AJ22" s="9" t="n">
        <f aca="false">(AJ21-AI21)/(AJ20-AI20)</f>
        <v>82.8826428619155</v>
      </c>
      <c r="AK22" s="9" t="n">
        <f aca="false">(AK21-AJ21)/(AK20-AJ20)</f>
        <v>107.96165737244</v>
      </c>
      <c r="AL22" s="9" t="n">
        <f aca="false">(AL21-AK21)/(AL20-AK20)</f>
        <v>87.2220573899035</v>
      </c>
      <c r="AM22" s="9" t="n">
        <f aca="false">(AM21-AL21)/(AM20-AL20)</f>
        <v>118.571476255186</v>
      </c>
      <c r="AN22" s="9" t="n">
        <f aca="false">(AN21-AM21)/(AN20-AM20)</f>
        <v>87.7374426139191</v>
      </c>
      <c r="AO22" s="9" t="n">
        <f aca="false">(AO21-AN21)/(AO20-AN20)</f>
        <v>116.00474717077</v>
      </c>
      <c r="AP22" s="9" t="n">
        <f aca="false">(AP21-AO21)/(AP20-AO20)</f>
        <v>120.698939903293</v>
      </c>
      <c r="AQ22" s="9" t="n">
        <f aca="false">(AQ21-AP21)/(AQ20-AP20)</f>
        <v>165.740820892785</v>
      </c>
      <c r="AR22" s="9" t="n">
        <f aca="false">(AR21-AQ21)/(AR20-AQ20)</f>
        <v>145.99290378934</v>
      </c>
      <c r="AS22" s="9" t="n">
        <f aca="false">(AS21-AR21)/(AS20-AR20)</f>
        <v>147.612598049731</v>
      </c>
      <c r="AT22" s="9" t="n">
        <f aca="false">(AT21-AS21)/(AT20-AS20)</f>
        <v>162.664867403703</v>
      </c>
      <c r="AU22" s="9" t="n">
        <f aca="false">(AU21-AT21)/(AU20-AT20)</f>
        <v>162.265496370924</v>
      </c>
      <c r="AV22" s="9" t="n">
        <f aca="false">(AV21-AU21)/(AV20-AU20)</f>
        <v>199.70043945312</v>
      </c>
      <c r="AW22" s="9" t="n">
        <f aca="false">(AW21-AV21)/(AW20-AV20)</f>
        <v>225.535644531248</v>
      </c>
      <c r="AX22" s="9" t="n">
        <f aca="false">(AX21-AW21)/(AX20-AW20)</f>
        <v>185.402965248769</v>
      </c>
      <c r="AY22" s="9" t="n">
        <f aca="false">(AY21-AX21)/(AY20-AX20)</f>
        <v>232.5386654163</v>
      </c>
      <c r="AZ22" s="9" t="n">
        <f aca="false">(AZ21-AY21)/(AZ20-AY20)</f>
        <v>217.396915819203</v>
      </c>
      <c r="BA22" s="9" t="n">
        <f aca="false">(BA21-AZ21)/(BA20-AZ20)</f>
        <v>186.483370288251</v>
      </c>
      <c r="BB22" s="9" t="n">
        <f aca="false">(BB21-BA21)/(BB20-BA20)</f>
        <v>196.866140923605</v>
      </c>
      <c r="BC22" s="9" t="n">
        <f aca="false">(BC21-BB21)/(BC20-BB20)</f>
        <v>223.473762010349</v>
      </c>
    </row>
    <row r="77" customFormat="false" ht="14.3" hidden="false" customHeight="false" outlineLevel="0" collapsed="false">
      <c r="B77" s="1" t="n">
        <v>1.20732021331787</v>
      </c>
      <c r="C77" s="1" t="n">
        <v>0.9200000166893</v>
      </c>
      <c r="D77" s="1" t="n">
        <v>0.9200000166893</v>
      </c>
      <c r="E77" s="1" t="n">
        <v>1.18353116512299</v>
      </c>
      <c r="F77" s="1" t="n">
        <v>0.9200000166893</v>
      </c>
      <c r="G77" s="1" t="n">
        <v>1.32770001888275</v>
      </c>
      <c r="H77" s="1" t="n">
        <v>0.9200000166893</v>
      </c>
      <c r="I77" s="1" t="n">
        <v>1.20732021331787</v>
      </c>
      <c r="K77" s="1" t="n">
        <v>0.9200000166893</v>
      </c>
      <c r="L77" s="1" t="n">
        <v>0.949999988079071</v>
      </c>
      <c r="M77" s="8" t="n">
        <v>0.980000019073486</v>
      </c>
      <c r="N77" s="1" t="n">
        <v>1.00999999046325</v>
      </c>
      <c r="O77" s="1" t="n">
        <v>1.04999995231628</v>
      </c>
      <c r="P77" s="1" t="n">
        <v>1.08000004291534</v>
      </c>
      <c r="Q77" s="1" t="n">
        <v>1.12000000476837</v>
      </c>
      <c r="R77" s="1" t="n">
        <v>1.14999997615814</v>
      </c>
      <c r="S77" s="1" t="n">
        <v>1.19000005722045</v>
      </c>
      <c r="T77" s="1" t="n">
        <v>1.23000001907348</v>
      </c>
      <c r="U77" s="1" t="n">
        <v>1.26999998092651</v>
      </c>
      <c r="V77" s="1" t="n">
        <v>1.30999994277954</v>
      </c>
      <c r="W77" s="1" t="n">
        <v>1.36000001430511</v>
      </c>
      <c r="X77" s="1" t="n">
        <v>1.39999997615814</v>
      </c>
      <c r="Y77" s="1" t="n">
        <v>1.44000005722045</v>
      </c>
      <c r="Z77" s="1" t="n">
        <v>1.49000000953674</v>
      </c>
      <c r="AA77" s="1" t="n">
        <v>1.53999996185302</v>
      </c>
      <c r="AB77" s="1" t="n">
        <v>1.5900000333786</v>
      </c>
      <c r="AC77" s="1" t="n">
        <v>1.63999998569488</v>
      </c>
      <c r="AD77" s="1" t="n">
        <v>1.69000005722045</v>
      </c>
      <c r="AE77" s="1" t="n">
        <v>1.75</v>
      </c>
      <c r="AF77" s="1" t="n">
        <v>1.79999995231628</v>
      </c>
      <c r="AG77" s="1" t="n">
        <v>1.86000001430511</v>
      </c>
      <c r="AH77" s="1" t="n">
        <v>1.91999995708465</v>
      </c>
      <c r="AI77" s="1" t="n">
        <v>1.98000001907348</v>
      </c>
      <c r="AJ77" s="1" t="n">
        <v>2.03999996185302</v>
      </c>
      <c r="AK77" s="1" t="n">
        <v>2.10999989509582</v>
      </c>
      <c r="AL77" s="1" t="n">
        <v>2.17000007629394</v>
      </c>
      <c r="AM77" s="1" t="n">
        <v>2.24000000953674</v>
      </c>
      <c r="AN77" s="1" t="n">
        <v>2.31999993324279</v>
      </c>
      <c r="AO77" s="1" t="n">
        <v>2.39000010490417</v>
      </c>
      <c r="AP77" s="1" t="n">
        <v>2.47000002861022</v>
      </c>
      <c r="AQ77" s="1" t="n">
        <v>2.54999995231628</v>
      </c>
      <c r="AR77" s="1" t="n">
        <v>2.65000009536743</v>
      </c>
      <c r="AS77" s="1" t="n">
        <v>2.72710013389587</v>
      </c>
      <c r="AT77" s="1" t="n">
        <v>2.79999995231628</v>
      </c>
      <c r="AU77" s="1" t="n">
        <v>2.89000010490417</v>
      </c>
      <c r="AV77" s="1" t="n">
        <v>2.98000001907348</v>
      </c>
      <c r="AW77" s="1" t="n">
        <v>3.07999992370605</v>
      </c>
      <c r="AX77" s="1" t="n">
        <v>3.1800000667572</v>
      </c>
      <c r="AY77" s="1" t="n">
        <v>3.26999998092651</v>
      </c>
      <c r="AZ77" s="1" t="n">
        <v>3.38000011444091</v>
      </c>
      <c r="BA77" s="1" t="n">
        <v>3.49000000953674</v>
      </c>
      <c r="BB77" s="1" t="n">
        <v>3.60999989509582</v>
      </c>
      <c r="BC77" s="1" t="n">
        <v>3.71000003814697</v>
      </c>
      <c r="BD77" s="1" t="n">
        <v>3.84999990463256</v>
      </c>
      <c r="BE77" s="1" t="n">
        <v>3.97499990463256</v>
      </c>
      <c r="BF77" s="1" t="n">
        <v>4.09999990463256</v>
      </c>
      <c r="BG77" s="1" t="n">
        <v>4.23999977111816</v>
      </c>
      <c r="BH77" s="1" t="n">
        <v>4.3600001335144</v>
      </c>
      <c r="BI77" s="1" t="n">
        <v>4.51000022888183</v>
      </c>
      <c r="BJ77" s="1" t="n">
        <v>4.67000007629394</v>
      </c>
      <c r="BK77" s="1" t="n">
        <v>4.80000019073486</v>
      </c>
      <c r="BL77" s="1" t="n">
        <v>4.96000003814697</v>
      </c>
    </row>
    <row r="78" customFormat="false" ht="14.3" hidden="false" customHeight="false" outlineLevel="0" collapsed="false">
      <c r="B78" s="1" t="n">
        <v>1.2837837934494</v>
      </c>
      <c r="C78" s="1" t="n">
        <v>0.949999988079071</v>
      </c>
      <c r="D78" s="1" t="n">
        <v>0.949999988079071</v>
      </c>
      <c r="E78" s="1" t="n">
        <v>1.2837837934494</v>
      </c>
      <c r="F78" s="1" t="n">
        <v>0.949999988079071</v>
      </c>
      <c r="G78" s="1" t="n">
        <v>1.38250005245209</v>
      </c>
      <c r="H78" s="1" t="n">
        <v>0.949999988079071</v>
      </c>
      <c r="I78" s="1" t="n">
        <v>1.2837837934494</v>
      </c>
      <c r="K78" s="1" t="n">
        <v>1.20732021331787</v>
      </c>
      <c r="L78" s="1" t="n">
        <v>1.2837837934494</v>
      </c>
      <c r="M78" s="8" t="n">
        <v>1.43429636955261</v>
      </c>
      <c r="N78" s="1" t="n">
        <v>1.59366250038147</v>
      </c>
      <c r="O78" s="1" t="n">
        <v>1.6990213394165</v>
      </c>
      <c r="P78" s="1" t="n">
        <v>1.90088522434234</v>
      </c>
      <c r="Q78" s="1" t="n">
        <v>2.34268403053283</v>
      </c>
      <c r="R78" s="1" t="n">
        <v>2.53694009780883</v>
      </c>
      <c r="S78" s="1" t="n">
        <v>2.94034647941589</v>
      </c>
      <c r="T78" s="1" t="n">
        <v>3.82613492012023</v>
      </c>
      <c r="U78" s="1" t="n">
        <v>4.00314044952392</v>
      </c>
      <c r="V78" s="1" t="n">
        <v>4.45313119888305</v>
      </c>
      <c r="W78" s="1" t="n">
        <v>5.07407999038696</v>
      </c>
      <c r="X78" s="1" t="n">
        <v>5.64285373687744</v>
      </c>
      <c r="Y78" s="1" t="n">
        <v>6.24869012832641</v>
      </c>
      <c r="Z78" s="1" t="n">
        <v>6.8791913986206</v>
      </c>
      <c r="AA78" s="1" t="n">
        <v>7.65468835830688</v>
      </c>
      <c r="AB78" s="1" t="n">
        <v>9.00103664398193</v>
      </c>
      <c r="AC78" s="1" t="n">
        <v>9.67250537872314</v>
      </c>
      <c r="AD78" s="1" t="n">
        <v>10.4361581802368</v>
      </c>
      <c r="AE78" s="1" t="n">
        <v>11.7950534820556</v>
      </c>
      <c r="AF78" s="1" t="n">
        <v>13.7610311508178</v>
      </c>
      <c r="AG78" s="1" t="n">
        <v>14.7386865615844</v>
      </c>
      <c r="AH78" s="1" t="n">
        <v>16.3605556488037</v>
      </c>
      <c r="AI78" s="1" t="n">
        <v>18.5462932586669</v>
      </c>
      <c r="AJ78" s="1" t="n">
        <v>20.79270362854</v>
      </c>
      <c r="AK78" s="1" t="n">
        <v>23.0110359191894</v>
      </c>
      <c r="AL78" s="1" t="n">
        <v>25.4813919067382</v>
      </c>
      <c r="AM78" s="1" t="n">
        <v>29.2976245880127</v>
      </c>
      <c r="AN78" s="1" t="n">
        <v>31.6532363891601</v>
      </c>
      <c r="AO78" s="1" t="n">
        <v>36.7943038940429</v>
      </c>
      <c r="AP78" s="1" t="n">
        <v>40.5696220397949</v>
      </c>
      <c r="AQ78" s="1" t="n">
        <v>47.0529289245605</v>
      </c>
      <c r="AR78" s="1" t="n">
        <v>54.0398445129394</v>
      </c>
      <c r="AS78" s="1" t="n">
        <v>62.2500991821289</v>
      </c>
      <c r="AT78" s="1" t="n">
        <v>69.9677658081054</v>
      </c>
      <c r="AU78" s="1" t="n">
        <v>78.5437316894531</v>
      </c>
      <c r="AV78" s="1" t="n">
        <v>89.6932983398437</v>
      </c>
      <c r="AW78" s="1" t="n">
        <v>99.8787994384765</v>
      </c>
      <c r="AX78" s="1" t="n">
        <v>110.101470947265</v>
      </c>
      <c r="AY78" s="1" t="n">
        <v>123.865402221679</v>
      </c>
      <c r="AZ78" s="1" t="n">
        <v>140.70166015625</v>
      </c>
      <c r="BA78" s="1" t="n">
        <v>156.059204101562</v>
      </c>
      <c r="BB78" s="1" t="n">
        <v>170.820449829101</v>
      </c>
      <c r="BC78" s="1" t="n">
        <v>187.086959838867</v>
      </c>
      <c r="BD78" s="1" t="n">
        <v>209.804107666015</v>
      </c>
      <c r="BE78" s="1" t="n">
        <v>234.766662597656</v>
      </c>
      <c r="BF78" s="1" t="n">
        <v>262.958618164062</v>
      </c>
      <c r="BG78" s="1" t="n">
        <v>288.915008544921</v>
      </c>
      <c r="BH78" s="1" t="n">
        <v>316.819732666015</v>
      </c>
      <c r="BI78" s="1" t="n">
        <v>349.429290771484</v>
      </c>
      <c r="BJ78" s="1" t="n">
        <v>379.2666015625</v>
      </c>
      <c r="BK78" s="1" t="n">
        <v>404.859222412109</v>
      </c>
      <c r="BL78" s="1" t="n">
        <v>440.614990234375</v>
      </c>
    </row>
    <row r="79" customFormat="false" ht="14.3" hidden="false" customHeight="false" outlineLevel="0" collapsed="false">
      <c r="B79" s="8" t="n">
        <v>1.43429636955261</v>
      </c>
      <c r="C79" s="8" t="n">
        <v>0.980000019073486</v>
      </c>
      <c r="D79" s="8" t="n">
        <v>0.980000019073486</v>
      </c>
      <c r="E79" s="8" t="n">
        <v>1.43429636955261</v>
      </c>
      <c r="F79" s="8" t="n">
        <v>0.980000019073486</v>
      </c>
      <c r="G79" s="8" t="n">
        <v>1.4867000579834</v>
      </c>
      <c r="H79" s="8" t="n">
        <v>0.980000019073486</v>
      </c>
      <c r="I79" s="8" t="n">
        <v>1.43429636955261</v>
      </c>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row>
    <row r="80" customFormat="false" ht="14.3" hidden="false" customHeight="false" outlineLevel="0" collapsed="false">
      <c r="B80" s="1" t="n">
        <v>1.59366250038147</v>
      </c>
      <c r="C80" s="1" t="n">
        <v>1.00999999046325</v>
      </c>
      <c r="D80" s="1" t="n">
        <v>1.00999999046326</v>
      </c>
      <c r="E80" s="1" t="n">
        <v>1.59366250038147</v>
      </c>
      <c r="F80" s="1" t="n">
        <v>1.00999999046326</v>
      </c>
      <c r="G80" s="1" t="n">
        <v>1.63510000705719</v>
      </c>
      <c r="H80" s="1" t="n">
        <v>1.00999999046325</v>
      </c>
      <c r="I80" s="1" t="n">
        <v>1.59366250038147</v>
      </c>
    </row>
    <row r="81" customFormat="false" ht="14.3" hidden="false" customHeight="false" outlineLevel="0" collapsed="false">
      <c r="B81" s="1" t="n">
        <v>1.6990213394165</v>
      </c>
      <c r="C81" s="1" t="n">
        <v>1.04999995231628</v>
      </c>
      <c r="D81" s="1" t="n">
        <v>1.04999995231628</v>
      </c>
      <c r="E81" s="1" t="n">
        <v>1.6990213394165</v>
      </c>
      <c r="F81" s="1" t="n">
        <v>1.04999995231628</v>
      </c>
      <c r="G81" s="1" t="n">
        <v>1.82840001583099</v>
      </c>
      <c r="H81" s="1" t="n">
        <v>1.04999995231628</v>
      </c>
      <c r="I81" s="1" t="n">
        <v>1.6990213394165</v>
      </c>
    </row>
    <row r="82" customFormat="false" ht="14.3" hidden="false" customHeight="false" outlineLevel="0" collapsed="false">
      <c r="B82" s="1" t="n">
        <v>1.90088522434234</v>
      </c>
      <c r="C82" s="1" t="n">
        <v>1.08000004291534</v>
      </c>
      <c r="D82" s="1" t="n">
        <v>1.08000004291534</v>
      </c>
      <c r="E82" s="1" t="n">
        <v>1.90088522434235</v>
      </c>
      <c r="F82" s="1" t="n">
        <v>1.08000004291534</v>
      </c>
      <c r="G82" s="1" t="n">
        <v>2.07290005683899</v>
      </c>
      <c r="H82" s="1" t="n">
        <v>1.08000004291534</v>
      </c>
      <c r="I82" s="1" t="n">
        <v>1.90088522434234</v>
      </c>
      <c r="K82" s="1" t="n">
        <v>0.9200000166893</v>
      </c>
      <c r="L82" s="1" t="n">
        <v>0.949999988079071</v>
      </c>
      <c r="M82" s="1" t="n">
        <v>0.980000019073486</v>
      </c>
      <c r="N82" s="1" t="n">
        <v>1.00999999046326</v>
      </c>
      <c r="O82" s="1" t="n">
        <v>1.04999995231628</v>
      </c>
      <c r="P82" s="1" t="n">
        <v>1.08000004291534</v>
      </c>
      <c r="Q82" s="1" t="n">
        <v>1.12000000476837</v>
      </c>
      <c r="R82" s="1" t="n">
        <v>1.14999997615814</v>
      </c>
      <c r="S82" s="1" t="n">
        <v>1.19000005722046</v>
      </c>
      <c r="T82" s="1" t="n">
        <v>1.23000001907349</v>
      </c>
      <c r="U82" s="1" t="n">
        <v>1.26999998092651</v>
      </c>
      <c r="V82" s="1" t="n">
        <v>1.30999994277954</v>
      </c>
      <c r="W82" s="1" t="n">
        <v>1.36000001430512</v>
      </c>
      <c r="X82" s="1" t="n">
        <v>1.39999997615814</v>
      </c>
      <c r="Y82" s="1" t="n">
        <v>1.44000005722046</v>
      </c>
      <c r="Z82" s="1" t="n">
        <v>1.49000000953674</v>
      </c>
      <c r="AA82" s="1" t="n">
        <v>1.53999996185303</v>
      </c>
      <c r="AB82" s="1" t="n">
        <v>1.5900000333786</v>
      </c>
      <c r="AC82" s="1" t="n">
        <v>1.63999998569489</v>
      </c>
      <c r="AD82" s="1" t="n">
        <v>1.69000005722046</v>
      </c>
      <c r="AE82" s="1" t="n">
        <v>1.75</v>
      </c>
      <c r="AF82" s="1" t="n">
        <v>1.79999995231628</v>
      </c>
      <c r="AG82" s="1" t="n">
        <v>1.86000001430512</v>
      </c>
      <c r="AH82" s="1" t="n">
        <v>1.91999995708466</v>
      </c>
      <c r="AI82" s="1" t="n">
        <v>1.98000001907349</v>
      </c>
      <c r="AJ82" s="1" t="n">
        <v>2.03999996185303</v>
      </c>
      <c r="AK82" s="1" t="n">
        <v>2.10999989509583</v>
      </c>
      <c r="AL82" s="1" t="n">
        <v>2.17000007629394</v>
      </c>
      <c r="AM82" s="1" t="n">
        <v>2.24000000953674</v>
      </c>
      <c r="AN82" s="1" t="n">
        <v>2.3199999332428</v>
      </c>
      <c r="AO82" s="1" t="n">
        <v>2.39000010490417</v>
      </c>
      <c r="AP82" s="1" t="n">
        <v>2.47000002861023</v>
      </c>
      <c r="AQ82" s="1" t="n">
        <v>2.54999995231628</v>
      </c>
      <c r="AR82" s="1" t="n">
        <v>2.63000011444092</v>
      </c>
      <c r="AS82" s="1" t="n">
        <v>2.73710012435913</v>
      </c>
      <c r="AT82" s="1" t="n">
        <v>2.8199999332428</v>
      </c>
      <c r="AU82" s="1" t="n">
        <v>2.91000008583069</v>
      </c>
      <c r="AV82" s="1" t="n">
        <v>2.98000001907349</v>
      </c>
      <c r="AW82" s="1" t="n">
        <v>3.0699999332428</v>
      </c>
      <c r="AX82" s="1" t="n">
        <v>3.16000008583069</v>
      </c>
      <c r="AY82" s="1" t="n">
        <v>3.26999998092651</v>
      </c>
      <c r="AZ82" s="1" t="n">
        <v>3.40000009536743</v>
      </c>
      <c r="BA82" s="1" t="n">
        <v>3.50999999046326</v>
      </c>
      <c r="BB82" s="1" t="n">
        <v>3.60999989509583</v>
      </c>
      <c r="BC82" s="1" t="n">
        <v>3.71000003814697</v>
      </c>
      <c r="BD82" s="1" t="n">
        <v>3.84999990463257</v>
      </c>
      <c r="BE82" s="1" t="n">
        <v>3.97499990463257</v>
      </c>
      <c r="BF82" s="1" t="n">
        <v>4.09999990463257</v>
      </c>
      <c r="BG82" s="1" t="n">
        <v>4.23999977111816</v>
      </c>
      <c r="BH82" s="1" t="n">
        <v>4.3600001335144</v>
      </c>
      <c r="BI82" s="1" t="n">
        <v>4.51000022888184</v>
      </c>
      <c r="BJ82" s="1" t="n">
        <v>4.67000007629395</v>
      </c>
      <c r="BK82" s="1" t="n">
        <v>4.80000019073486</v>
      </c>
      <c r="BL82" s="1" t="n">
        <v>4.96000003814697</v>
      </c>
    </row>
    <row r="83" customFormat="false" ht="14.3" hidden="false" customHeight="false" outlineLevel="0" collapsed="false">
      <c r="B83" s="1" t="n">
        <v>2.34268403053283</v>
      </c>
      <c r="C83" s="1" t="n">
        <v>1.12000000476837</v>
      </c>
      <c r="D83" s="1" t="n">
        <v>1.12000000476837</v>
      </c>
      <c r="E83" s="1" t="n">
        <v>2.34268403053284</v>
      </c>
      <c r="F83" s="1" t="n">
        <v>1.12000000476837</v>
      </c>
      <c r="G83" s="1" t="n">
        <v>2.37529993057251</v>
      </c>
      <c r="H83" s="1" t="n">
        <v>1.12000000476837</v>
      </c>
      <c r="I83" s="1" t="n">
        <v>2.34268403053283</v>
      </c>
      <c r="K83" s="1" t="n">
        <v>1.32770001888275</v>
      </c>
      <c r="L83" s="1" t="n">
        <v>1.38250005245209</v>
      </c>
      <c r="M83" s="1" t="n">
        <v>1.4867000579834</v>
      </c>
      <c r="N83" s="1" t="n">
        <v>1.63510000705719</v>
      </c>
      <c r="O83" s="1" t="n">
        <v>1.82840001583099</v>
      </c>
      <c r="P83" s="1" t="n">
        <v>2.07290005683899</v>
      </c>
      <c r="Q83" s="1" t="n">
        <v>2.37529993057251</v>
      </c>
      <c r="R83" s="1" t="n">
        <v>2.73819994926453</v>
      </c>
      <c r="S83" s="1" t="n">
        <v>3.15560007095337</v>
      </c>
      <c r="T83" s="1" t="n">
        <v>3.6159999370575</v>
      </c>
      <c r="U83" s="1" t="n">
        <v>4.11189985275269</v>
      </c>
      <c r="V83" s="1" t="n">
        <v>4.64779996871948</v>
      </c>
      <c r="W83" s="1" t="n">
        <v>5.23540019989014</v>
      </c>
      <c r="X83" s="1" t="n">
        <v>5.8831000328064</v>
      </c>
      <c r="Y83" s="1" t="n">
        <v>6.59490013122559</v>
      </c>
      <c r="Z83" s="1" t="n">
        <v>7.37760019302368</v>
      </c>
      <c r="AA83" s="1" t="n">
        <v>8.24419975280762</v>
      </c>
      <c r="AB83" s="1" t="n">
        <v>9.2121000289917</v>
      </c>
      <c r="AC83" s="1" t="n">
        <v>10.3000001907349</v>
      </c>
      <c r="AD83" s="1" t="n">
        <v>11.5227003097534</v>
      </c>
      <c r="AE83" s="1" t="n">
        <v>12.884599685669</v>
      </c>
      <c r="AF83" s="1" t="n">
        <v>14.384599685669</v>
      </c>
      <c r="AG83" s="1" t="n">
        <v>16.0340995788574</v>
      </c>
      <c r="AH83" s="1" t="n">
        <v>17.862699508667</v>
      </c>
      <c r="AI83" s="1" t="n">
        <v>19.9001998901367</v>
      </c>
      <c r="AJ83" s="1" t="n">
        <v>22.1583995819092</v>
      </c>
      <c r="AK83" s="1" t="n">
        <v>24.6411991119385</v>
      </c>
      <c r="AL83" s="1" t="n">
        <v>27.3743000030518</v>
      </c>
      <c r="AM83" s="1" t="n">
        <v>30.4333992004394</v>
      </c>
      <c r="AN83" s="1" t="n">
        <v>33.9495010375977</v>
      </c>
      <c r="AO83" s="1" t="n">
        <v>38.0831985473633</v>
      </c>
      <c r="AP83" s="1" t="n">
        <v>42.9807014465332</v>
      </c>
      <c r="AQ83" s="1" t="n">
        <v>48.7335014343262</v>
      </c>
      <c r="AR83" s="1" t="n">
        <v>55.3432006835938</v>
      </c>
      <c r="AS83" s="1" t="n">
        <v>62.7047996520996</v>
      </c>
      <c r="AT83" s="1" t="n">
        <v>70.6614990234375</v>
      </c>
      <c r="AU83" s="1" t="n">
        <v>79.1484985351562</v>
      </c>
      <c r="AV83" s="1" t="n">
        <v>88.3421020507813</v>
      </c>
      <c r="AW83" s="1" t="n">
        <v>98.6639022827148</v>
      </c>
      <c r="AX83" s="1" t="n">
        <v>110.572601318359</v>
      </c>
      <c r="AY83" s="1" t="n">
        <v>124.264099121094</v>
      </c>
      <c r="AZ83" s="1" t="n">
        <v>139.564804077148</v>
      </c>
      <c r="BA83" s="1" t="n">
        <v>156.182006835938</v>
      </c>
      <c r="BB83" s="1" t="n">
        <v>174.08869934082</v>
      </c>
      <c r="BC83" s="1" t="n">
        <v>193.619094848633</v>
      </c>
      <c r="BD83" s="1" t="n">
        <v>215.169998168945</v>
      </c>
      <c r="BE83" s="1" t="n">
        <v>238.853805541992</v>
      </c>
      <c r="BF83" s="1" t="n">
        <v>264.430786132812</v>
      </c>
      <c r="BG83" s="1" t="n">
        <v>291.453704833984</v>
      </c>
      <c r="BH83" s="1" t="n">
        <v>319.294403076172</v>
      </c>
      <c r="BI83" s="1" t="n">
        <v>346.873107910156</v>
      </c>
      <c r="BJ83" s="1" t="n">
        <v>372.220092773437</v>
      </c>
      <c r="BK83" s="1" t="n">
        <v>392.284393310547</v>
      </c>
      <c r="BL83" s="1" t="n">
        <v>403.549713134766</v>
      </c>
    </row>
    <row r="84" customFormat="false" ht="14.3" hidden="false" customHeight="false" outlineLevel="0" collapsed="false">
      <c r="B84" s="1" t="n">
        <v>2.53694009780883</v>
      </c>
      <c r="C84" s="1" t="n">
        <v>1.14999997615814</v>
      </c>
      <c r="D84" s="1" t="n">
        <v>1.14999997615814</v>
      </c>
      <c r="E84" s="1" t="n">
        <v>2.53694009780884</v>
      </c>
      <c r="F84" s="1" t="n">
        <v>1.14999997615814</v>
      </c>
      <c r="G84" s="1" t="n">
        <v>2.73819994926453</v>
      </c>
      <c r="H84" s="1" t="n">
        <v>1.14999997615814</v>
      </c>
      <c r="I84" s="1" t="n">
        <v>2.53694009780883</v>
      </c>
    </row>
    <row r="85" customFormat="false" ht="14.3" hidden="false" customHeight="false" outlineLevel="0" collapsed="false">
      <c r="B85" s="1" t="n">
        <v>2.94034647941589</v>
      </c>
      <c r="C85" s="1" t="n">
        <v>1.19000005722045</v>
      </c>
      <c r="D85" s="1" t="n">
        <v>1.19000005722046</v>
      </c>
      <c r="E85" s="1" t="n">
        <v>2.94034647941589</v>
      </c>
      <c r="F85" s="1" t="n">
        <v>1.19000005722046</v>
      </c>
      <c r="G85" s="1" t="n">
        <v>3.15560007095337</v>
      </c>
      <c r="H85" s="1" t="n">
        <v>1.19000005722045</v>
      </c>
      <c r="I85" s="1" t="n">
        <v>2.94034647941589</v>
      </c>
    </row>
    <row r="86" customFormat="false" ht="14.3" hidden="false" customHeight="false" outlineLevel="0" collapsed="false">
      <c r="B86" s="1" t="n">
        <v>3.82613492012023</v>
      </c>
      <c r="C86" s="1" t="n">
        <v>1.23000001907348</v>
      </c>
      <c r="D86" s="1" t="n">
        <v>1.23000001907349</v>
      </c>
      <c r="E86" s="1" t="n">
        <v>3.82613492012024</v>
      </c>
      <c r="F86" s="1" t="n">
        <v>1.23000001907349</v>
      </c>
      <c r="G86" s="1" t="n">
        <v>3.6159999370575</v>
      </c>
      <c r="H86" s="1" t="n">
        <v>1.23000001907348</v>
      </c>
      <c r="I86" s="1" t="n">
        <v>3.82613492012023</v>
      </c>
    </row>
    <row r="87" customFormat="false" ht="14.3" hidden="false" customHeight="false" outlineLevel="0" collapsed="false">
      <c r="B87" s="1" t="n">
        <v>4.00314044952392</v>
      </c>
      <c r="C87" s="1" t="n">
        <v>1.26999998092651</v>
      </c>
      <c r="D87" s="1" t="n">
        <v>1.26999998092651</v>
      </c>
      <c r="E87" s="1" t="n">
        <v>4.00314044952393</v>
      </c>
      <c r="F87" s="1" t="n">
        <v>1.26999998092651</v>
      </c>
      <c r="G87" s="1" t="n">
        <v>4.11189985275269</v>
      </c>
      <c r="H87" s="1" t="n">
        <v>1.26999998092651</v>
      </c>
      <c r="I87" s="1" t="n">
        <v>4.00314044952392</v>
      </c>
      <c r="K87" s="1" t="n">
        <v>0.9200000166893</v>
      </c>
      <c r="L87" s="1" t="n">
        <v>0.949999988079071</v>
      </c>
      <c r="M87" s="1" t="n">
        <v>0.980000019073486</v>
      </c>
      <c r="N87" s="1" t="n">
        <v>1.00999999046326</v>
      </c>
      <c r="O87" s="1" t="n">
        <v>1.04999995231628</v>
      </c>
      <c r="P87" s="1" t="n">
        <v>1.08000004291534</v>
      </c>
      <c r="Q87" s="1" t="n">
        <v>1.12000000476837</v>
      </c>
      <c r="R87" s="1" t="n">
        <v>1.14999997615814</v>
      </c>
      <c r="S87" s="1" t="n">
        <v>1.19000005722046</v>
      </c>
      <c r="T87" s="1" t="n">
        <v>1.23000001907349</v>
      </c>
      <c r="U87" s="1" t="n">
        <v>1.26999998092651</v>
      </c>
      <c r="V87" s="1" t="n">
        <v>1.30999994277954</v>
      </c>
      <c r="W87" s="1" t="n">
        <v>1.36000001430512</v>
      </c>
      <c r="X87" s="1" t="n">
        <v>1.39999997615814</v>
      </c>
      <c r="Y87" s="1" t="n">
        <v>1.44000005722046</v>
      </c>
      <c r="Z87" s="1" t="n">
        <v>1.49000000953674</v>
      </c>
      <c r="AA87" s="1" t="n">
        <v>1.53999996185303</v>
      </c>
      <c r="AB87" s="1" t="n">
        <v>1.5900000333786</v>
      </c>
      <c r="AC87" s="1" t="n">
        <v>1.63999998569489</v>
      </c>
      <c r="AD87" s="1" t="n">
        <v>1.69000005722046</v>
      </c>
      <c r="AE87" s="1" t="n">
        <v>1.75</v>
      </c>
      <c r="AF87" s="1" t="n">
        <v>1.79999995231628</v>
      </c>
      <c r="AG87" s="1" t="n">
        <v>1.86000001430512</v>
      </c>
      <c r="AH87" s="1" t="n">
        <v>1.91999995708466</v>
      </c>
      <c r="AI87" s="1" t="n">
        <v>1.98000001907349</v>
      </c>
      <c r="AJ87" s="1" t="n">
        <v>2.03999996185303</v>
      </c>
      <c r="AK87" s="1" t="n">
        <v>2.10999989509583</v>
      </c>
      <c r="AL87" s="1" t="n">
        <v>2.17000007629394</v>
      </c>
      <c r="AM87" s="1" t="n">
        <v>2.24000000953674</v>
      </c>
      <c r="AN87" s="1" t="n">
        <v>2.3199999332428</v>
      </c>
      <c r="AO87" s="1" t="n">
        <v>2.39000010490417</v>
      </c>
      <c r="AP87" s="1" t="n">
        <v>2.47000002861023</v>
      </c>
      <c r="AQ87" s="1" t="n">
        <v>2.54999995231628</v>
      </c>
      <c r="AR87" s="1" t="n">
        <v>2.63000011444092</v>
      </c>
      <c r="AS87" s="1" t="n">
        <v>2.73710012435913</v>
      </c>
      <c r="AT87" s="1" t="n">
        <v>2.8199999332428</v>
      </c>
      <c r="AU87" s="1" t="n">
        <v>2.91000008583069</v>
      </c>
      <c r="AV87" s="1" t="n">
        <v>2.98000001907349</v>
      </c>
      <c r="AW87" s="1" t="n">
        <v>3.0699999332428</v>
      </c>
      <c r="AX87" s="1" t="n">
        <v>3.16000008583069</v>
      </c>
      <c r="AY87" s="1" t="n">
        <v>3.26999998092651</v>
      </c>
      <c r="AZ87" s="1" t="n">
        <v>3.40000009536743</v>
      </c>
      <c r="BA87" s="1" t="n">
        <v>3.50999999046326</v>
      </c>
      <c r="BB87" s="1" t="n">
        <v>3.60999989509583</v>
      </c>
      <c r="BC87" s="1" t="n">
        <v>3.71000003814697</v>
      </c>
      <c r="BD87" s="1" t="n">
        <v>3.84999990463257</v>
      </c>
      <c r="BE87" s="1" t="n">
        <v>3.97499990463257</v>
      </c>
      <c r="BF87" s="1" t="n">
        <v>4.09999990463257</v>
      </c>
      <c r="BG87" s="1" t="n">
        <v>4.23999977111816</v>
      </c>
      <c r="BH87" s="1" t="n">
        <v>4.3600001335144</v>
      </c>
      <c r="BI87" s="1" t="n">
        <v>4.51000022888184</v>
      </c>
      <c r="BJ87" s="1" t="n">
        <v>4.67000007629395</v>
      </c>
      <c r="BK87" s="1" t="n">
        <v>4.80000019073486</v>
      </c>
      <c r="BL87" s="1" t="n">
        <v>4.96000003814697</v>
      </c>
    </row>
    <row r="88" customFormat="false" ht="14.3" hidden="false" customHeight="false" outlineLevel="0" collapsed="false">
      <c r="B88" s="1" t="n">
        <v>4.45313119888305</v>
      </c>
      <c r="C88" s="1" t="n">
        <v>1.30999994277954</v>
      </c>
      <c r="D88" s="1" t="n">
        <v>1.30999994277954</v>
      </c>
      <c r="E88" s="1" t="n">
        <v>4.45313119888306</v>
      </c>
      <c r="F88" s="1" t="n">
        <v>1.30999994277954</v>
      </c>
      <c r="G88" s="1" t="n">
        <v>4.64779996871948</v>
      </c>
      <c r="H88" s="1" t="n">
        <v>1.30999994277954</v>
      </c>
      <c r="I88" s="1" t="n">
        <v>4.45313119888305</v>
      </c>
      <c r="K88" s="1" t="n">
        <v>1.18353116512299</v>
      </c>
      <c r="L88" s="1" t="n">
        <v>1.2837837934494</v>
      </c>
      <c r="M88" s="1" t="n">
        <v>1.43429636955261</v>
      </c>
      <c r="N88" s="1" t="n">
        <v>1.59366250038147</v>
      </c>
      <c r="O88" s="1" t="n">
        <v>1.6990213394165</v>
      </c>
      <c r="P88" s="1" t="n">
        <v>1.90088522434235</v>
      </c>
      <c r="Q88" s="1" t="n">
        <v>2.34268403053284</v>
      </c>
      <c r="R88" s="1" t="n">
        <v>2.53694009780884</v>
      </c>
      <c r="S88" s="1" t="n">
        <v>2.94034647941589</v>
      </c>
      <c r="T88" s="1" t="n">
        <v>3.82613492012024</v>
      </c>
      <c r="U88" s="1" t="n">
        <v>4.00314044952393</v>
      </c>
      <c r="V88" s="1" t="n">
        <v>4.45313119888306</v>
      </c>
      <c r="W88" s="1" t="n">
        <v>5.07407999038696</v>
      </c>
      <c r="X88" s="1" t="n">
        <v>5.81383800506592</v>
      </c>
      <c r="Y88" s="1" t="n">
        <v>6.50241231918335</v>
      </c>
      <c r="Z88" s="1" t="n">
        <v>7.23009967803955</v>
      </c>
      <c r="AA88" s="1" t="n">
        <v>7.88663291931152</v>
      </c>
      <c r="AB88" s="1" t="n">
        <v>9.18105697631836</v>
      </c>
      <c r="AC88" s="1" t="n">
        <v>9.96461582183838</v>
      </c>
      <c r="AD88" s="1" t="n">
        <v>11.0771064758301</v>
      </c>
      <c r="AE88" s="1" t="n">
        <v>12.5194597244263</v>
      </c>
      <c r="AF88" s="1" t="n">
        <v>14.60618019104</v>
      </c>
      <c r="AG88" s="1" t="n">
        <v>15.4889888763428</v>
      </c>
      <c r="AH88" s="1" t="n">
        <v>17.1934223175049</v>
      </c>
      <c r="AI88" s="1" t="n">
        <v>19.4904289245606</v>
      </c>
      <c r="AJ88" s="1" t="n">
        <v>21.8512001037598</v>
      </c>
      <c r="AK88" s="1" t="n">
        <v>24.1824588775635</v>
      </c>
      <c r="AL88" s="1" t="n">
        <v>26.7785739898682</v>
      </c>
      <c r="AM88" s="1" t="n">
        <v>30.1824131011963</v>
      </c>
      <c r="AN88" s="1" t="n">
        <v>31.9697685241699</v>
      </c>
      <c r="AO88" s="1" t="n">
        <v>36.794303894043</v>
      </c>
      <c r="AP88" s="1" t="n">
        <v>40.9753189086914</v>
      </c>
      <c r="AQ88" s="1" t="n">
        <v>47.0529289245606</v>
      </c>
      <c r="AR88" s="1" t="n">
        <v>52.8632698059082</v>
      </c>
      <c r="AS88" s="1" t="n">
        <v>61.7400016784668</v>
      </c>
      <c r="AT88" s="1" t="n">
        <v>70.6900024414063</v>
      </c>
      <c r="AU88" s="1" t="n">
        <v>78.5400009155273</v>
      </c>
      <c r="AV88" s="1" t="n">
        <v>86.8399963378906</v>
      </c>
      <c r="AW88" s="1" t="n">
        <v>94.7363586425781</v>
      </c>
      <c r="AX88" s="1" t="n">
        <v>105.176803588867</v>
      </c>
      <c r="AY88" s="1" t="n">
        <v>118.453674316406</v>
      </c>
      <c r="AZ88" s="1" t="n">
        <v>140</v>
      </c>
      <c r="BA88" s="1" t="n">
        <v>156.059204101563</v>
      </c>
      <c r="BB88" s="1" t="n">
        <v>170.820449829102</v>
      </c>
      <c r="BC88" s="1" t="n">
        <v>187.086959838867</v>
      </c>
      <c r="BD88" s="1" t="n">
        <v>209.804107666016</v>
      </c>
      <c r="BE88" s="1" t="n">
        <v>234.766662597656</v>
      </c>
      <c r="BF88" s="1" t="n">
        <v>262.958618164062</v>
      </c>
      <c r="BG88" s="1" t="n">
        <v>288.915008544922</v>
      </c>
      <c r="BH88" s="1" t="n">
        <v>316.819732666016</v>
      </c>
      <c r="BI88" s="1" t="n">
        <v>349.429290771484</v>
      </c>
      <c r="BJ88" s="1" t="n">
        <v>379.2666015625</v>
      </c>
      <c r="BK88" s="1" t="n">
        <v>404.859222412109</v>
      </c>
      <c r="BL88" s="1" t="n">
        <v>440.614990234375</v>
      </c>
    </row>
    <row r="89" customFormat="false" ht="14.3" hidden="false" customHeight="false" outlineLevel="0" collapsed="false">
      <c r="B89" s="1" t="n">
        <v>5.07407999038696</v>
      </c>
      <c r="C89" s="1" t="n">
        <v>1.36000001430511</v>
      </c>
      <c r="D89" s="1" t="n">
        <v>1.36000001430512</v>
      </c>
      <c r="E89" s="1" t="n">
        <v>5.07407999038696</v>
      </c>
      <c r="F89" s="1" t="n">
        <v>1.36000001430512</v>
      </c>
      <c r="G89" s="1" t="n">
        <v>5.23540019989014</v>
      </c>
      <c r="H89" s="1" t="n">
        <v>1.36000001430511</v>
      </c>
      <c r="I89" s="1" t="n">
        <v>5.07407999038696</v>
      </c>
    </row>
    <row r="90" customFormat="false" ht="14.3" hidden="false" customHeight="false" outlineLevel="0" collapsed="false">
      <c r="B90" s="1" t="n">
        <v>5.64285373687744</v>
      </c>
      <c r="C90" s="1" t="n">
        <v>1.39999997615814</v>
      </c>
      <c r="D90" s="1" t="n">
        <v>1.39999997615814</v>
      </c>
      <c r="E90" s="1" t="n">
        <v>5.81383800506592</v>
      </c>
      <c r="F90" s="1" t="n">
        <v>1.39999997615814</v>
      </c>
      <c r="G90" s="1" t="n">
        <v>5.8831000328064</v>
      </c>
      <c r="H90" s="1" t="n">
        <v>1.39999997615814</v>
      </c>
      <c r="I90" s="1" t="n">
        <v>5.64285373687744</v>
      </c>
    </row>
    <row r="91" customFormat="false" ht="14.3" hidden="false" customHeight="false" outlineLevel="0" collapsed="false">
      <c r="B91" s="1" t="n">
        <v>6.24869012832641</v>
      </c>
      <c r="C91" s="1" t="n">
        <v>1.44000005722045</v>
      </c>
      <c r="D91" s="1" t="n">
        <v>1.44000005722046</v>
      </c>
      <c r="E91" s="1" t="n">
        <v>6.50241231918335</v>
      </c>
      <c r="F91" s="1" t="n">
        <v>1.44000005722046</v>
      </c>
      <c r="G91" s="1" t="n">
        <v>6.59490013122559</v>
      </c>
      <c r="H91" s="1" t="n">
        <v>1.44000005722045</v>
      </c>
      <c r="I91" s="1" t="n">
        <v>6.24869012832641</v>
      </c>
    </row>
    <row r="92" customFormat="false" ht="14.3" hidden="false" customHeight="false" outlineLevel="0" collapsed="false">
      <c r="B92" s="1" t="n">
        <v>6.8791913986206</v>
      </c>
      <c r="C92" s="1" t="n">
        <v>1.49000000953674</v>
      </c>
      <c r="D92" s="1" t="n">
        <v>1.49000000953674</v>
      </c>
      <c r="E92" s="1" t="n">
        <v>7.23009967803955</v>
      </c>
      <c r="F92" s="1" t="n">
        <v>1.49000000953674</v>
      </c>
      <c r="G92" s="1" t="n">
        <v>7.37760019302368</v>
      </c>
      <c r="H92" s="1" t="n">
        <v>1.49000000953674</v>
      </c>
      <c r="I92" s="1" t="n">
        <v>6.8791913986206</v>
      </c>
      <c r="K92" s="1" t="n">
        <v>0.93</v>
      </c>
      <c r="L92" s="1" t="n">
        <v>0.94</v>
      </c>
      <c r="M92" s="1" t="n">
        <v>0.9872</v>
      </c>
      <c r="N92" s="1" t="n">
        <v>1</v>
      </c>
      <c r="O92" s="1" t="n">
        <v>1.0599</v>
      </c>
      <c r="P92" s="1" t="n">
        <v>1.0739</v>
      </c>
      <c r="Q92" s="1" t="n">
        <v>1.1281</v>
      </c>
      <c r="R92" s="1" t="n">
        <v>1.14</v>
      </c>
      <c r="S92" s="1" t="n">
        <v>1.1812</v>
      </c>
      <c r="T92" s="1" t="n">
        <v>1.22</v>
      </c>
      <c r="U92" s="1" t="n">
        <v>1.28</v>
      </c>
      <c r="V92" s="1" t="n">
        <v>1.3018</v>
      </c>
      <c r="W92" s="1" t="n">
        <v>1.3621</v>
      </c>
      <c r="X92" s="1" t="n">
        <v>1.3939</v>
      </c>
      <c r="Y92" s="1" t="n">
        <v>1.45</v>
      </c>
      <c r="Z92" s="1" t="n">
        <v>1.48</v>
      </c>
      <c r="AA92" s="1" t="n">
        <v>1.55</v>
      </c>
      <c r="AB92" s="1" t="n">
        <v>1.5962</v>
      </c>
      <c r="AC92" s="1" t="n">
        <v>1.6408</v>
      </c>
      <c r="AD92" s="1" t="n">
        <v>1.68</v>
      </c>
      <c r="AE92" s="1" t="n">
        <v>1.7441</v>
      </c>
      <c r="AF92" s="1" t="n">
        <v>1.81</v>
      </c>
      <c r="AG92" s="1" t="n">
        <v>1.85</v>
      </c>
      <c r="AH92" s="1" t="n">
        <v>1.91</v>
      </c>
      <c r="AI92" s="1" t="n">
        <v>1.9766</v>
      </c>
      <c r="AJ92" s="1" t="n">
        <v>2.05</v>
      </c>
      <c r="AK92" s="1" t="n">
        <v>2.1</v>
      </c>
      <c r="AL92" s="1" t="n">
        <v>2.1749</v>
      </c>
      <c r="AM92" s="1" t="n">
        <v>2.23</v>
      </c>
      <c r="AN92" s="1" t="n">
        <v>2.33</v>
      </c>
      <c r="AO92" s="1" t="n">
        <v>2.3946</v>
      </c>
      <c r="AP92" s="1" t="n">
        <v>2.48</v>
      </c>
      <c r="AQ92" s="1" t="n">
        <v>2.5517</v>
      </c>
      <c r="AR92" s="1" t="n">
        <v>2.6335</v>
      </c>
      <c r="AS92" s="1" t="n">
        <v>2.7271</v>
      </c>
      <c r="AT92" s="1" t="n">
        <v>2.83</v>
      </c>
      <c r="AU92" s="1" t="n">
        <v>2.9082</v>
      </c>
      <c r="AV92" s="1" t="n">
        <v>2.99</v>
      </c>
      <c r="AW92" s="1" t="n">
        <v>3.0632</v>
      </c>
      <c r="AX92" s="1" t="n">
        <v>3.1519</v>
      </c>
      <c r="AY92" s="1" t="n">
        <v>3.26</v>
      </c>
      <c r="AZ92" s="1" t="n">
        <v>3.4097</v>
      </c>
      <c r="BA92" s="1" t="n">
        <v>3.52</v>
      </c>
      <c r="BB92" s="1" t="n">
        <v>3.614</v>
      </c>
      <c r="BC92" s="1" t="n">
        <v>3.7095</v>
      </c>
      <c r="BD92" s="1" t="n">
        <v>3.84</v>
      </c>
      <c r="BE92" s="1" t="n">
        <v>3.9673</v>
      </c>
      <c r="BF92" s="1" t="n">
        <v>4.11</v>
      </c>
      <c r="BG92" s="1" t="n">
        <v>4.2337</v>
      </c>
      <c r="BH92" s="1" t="n">
        <v>4.369</v>
      </c>
      <c r="BI92" s="1" t="n">
        <v>4.52</v>
      </c>
      <c r="BJ92" s="1" t="n">
        <v>4.6672</v>
      </c>
      <c r="BK92" s="1" t="n">
        <v>4.79</v>
      </c>
      <c r="BL92" s="1" t="n">
        <v>4.9633</v>
      </c>
    </row>
    <row r="93" customFormat="false" ht="14.3" hidden="false" customHeight="false" outlineLevel="0" collapsed="false">
      <c r="B93" s="1" t="n">
        <v>7.65468835830688</v>
      </c>
      <c r="C93" s="1" t="n">
        <v>1.53999996185302</v>
      </c>
      <c r="D93" s="1" t="n">
        <v>1.53999996185303</v>
      </c>
      <c r="E93" s="1" t="n">
        <v>7.88663291931152</v>
      </c>
      <c r="F93" s="1" t="n">
        <v>1.53999996185303</v>
      </c>
      <c r="G93" s="1" t="n">
        <v>8.24419975280762</v>
      </c>
      <c r="H93" s="1" t="n">
        <v>1.53999996185302</v>
      </c>
      <c r="I93" s="1" t="n">
        <v>7.65468835830688</v>
      </c>
      <c r="K93" s="1" t="n">
        <v>1.1835</v>
      </c>
      <c r="L93" s="1" t="n">
        <v>1.2838</v>
      </c>
      <c r="M93" s="1" t="n">
        <v>1.4343</v>
      </c>
      <c r="N93" s="1" t="n">
        <v>1.5937</v>
      </c>
      <c r="O93" s="1" t="n">
        <v>1.699</v>
      </c>
      <c r="P93" s="1" t="n">
        <v>1.9009</v>
      </c>
      <c r="Q93" s="1" t="n">
        <v>2.3427</v>
      </c>
      <c r="R93" s="1" t="n">
        <v>2.5369</v>
      </c>
      <c r="S93" s="1" t="n">
        <v>2.9403</v>
      </c>
      <c r="T93" s="1" t="n">
        <v>3.8261</v>
      </c>
      <c r="U93" s="1" t="n">
        <v>4.0031</v>
      </c>
      <c r="V93" s="1" t="n">
        <v>4.4531</v>
      </c>
      <c r="W93" s="1" t="n">
        <v>5.0741</v>
      </c>
      <c r="X93" s="1" t="n">
        <v>5.8138</v>
      </c>
      <c r="Y93" s="1" t="n">
        <v>6.5024</v>
      </c>
      <c r="Z93" s="1" t="n">
        <v>7.2301</v>
      </c>
      <c r="AA93" s="1" t="n">
        <v>7.8866</v>
      </c>
      <c r="AB93" s="1" t="n">
        <v>9.1811</v>
      </c>
      <c r="AC93" s="1" t="n">
        <v>9.9646</v>
      </c>
      <c r="AD93" s="1" t="n">
        <v>11.0771</v>
      </c>
      <c r="AE93" s="1" t="n">
        <v>12.5195</v>
      </c>
      <c r="AF93" s="1" t="n">
        <v>14.6062</v>
      </c>
      <c r="AG93" s="1" t="n">
        <v>15.489</v>
      </c>
      <c r="AH93" s="1" t="n">
        <v>17.1934</v>
      </c>
      <c r="AI93" s="1" t="n">
        <v>19.4904</v>
      </c>
      <c r="AJ93" s="1" t="n">
        <v>21.8512</v>
      </c>
      <c r="AK93" s="1" t="n">
        <v>24.1825</v>
      </c>
      <c r="AL93" s="1" t="n">
        <v>26.7786</v>
      </c>
      <c r="AM93" s="1" t="n">
        <v>30.1824</v>
      </c>
      <c r="AN93" s="1" t="n">
        <v>31.9698</v>
      </c>
      <c r="AO93" s="1" t="n">
        <v>36.7943</v>
      </c>
      <c r="AP93" s="1" t="n">
        <v>40.9753</v>
      </c>
      <c r="AQ93" s="1" t="n">
        <v>47.0529</v>
      </c>
      <c r="AR93" s="1" t="n">
        <v>52.8633</v>
      </c>
      <c r="AS93" s="1" t="n">
        <v>61.74</v>
      </c>
      <c r="AT93" s="1" t="n">
        <v>70.69</v>
      </c>
      <c r="AU93" s="1" t="n">
        <v>78.54</v>
      </c>
      <c r="AV93" s="1" t="n">
        <v>86.84</v>
      </c>
      <c r="AW93" s="1" t="n">
        <v>94.7364</v>
      </c>
      <c r="AX93" s="1" t="n">
        <v>105.1768</v>
      </c>
      <c r="AY93" s="1" t="n">
        <v>118.4537</v>
      </c>
      <c r="AZ93" s="1" t="n">
        <v>140</v>
      </c>
      <c r="BA93" s="1" t="n">
        <v>156.0592</v>
      </c>
      <c r="BB93" s="1" t="n">
        <v>170.8204</v>
      </c>
      <c r="BC93" s="1" t="n">
        <v>187.087</v>
      </c>
      <c r="BD93" s="1" t="n">
        <v>209.8041</v>
      </c>
      <c r="BE93" s="1" t="n">
        <v>234.7667</v>
      </c>
      <c r="BF93" s="1" t="n">
        <v>262.9586</v>
      </c>
      <c r="BG93" s="1" t="n">
        <v>288.915</v>
      </c>
      <c r="BH93" s="1" t="n">
        <v>316.8197</v>
      </c>
      <c r="BI93" s="1" t="n">
        <v>349.4293</v>
      </c>
      <c r="BJ93" s="1" t="n">
        <v>379.2666</v>
      </c>
      <c r="BK93" s="1" t="n">
        <v>404.8592</v>
      </c>
      <c r="BL93" s="1" t="n">
        <v>440.615</v>
      </c>
    </row>
    <row r="94" customFormat="false" ht="14.3" hidden="false" customHeight="false" outlineLevel="0" collapsed="false">
      <c r="B94" s="1" t="n">
        <v>9.00103664398193</v>
      </c>
      <c r="C94" s="1" t="n">
        <v>1.5900000333786</v>
      </c>
      <c r="D94" s="1" t="n">
        <v>1.5900000333786</v>
      </c>
      <c r="E94" s="1" t="n">
        <v>9.18105697631836</v>
      </c>
      <c r="F94" s="1" t="n">
        <v>1.5900000333786</v>
      </c>
      <c r="G94" s="1" t="n">
        <v>9.2121000289917</v>
      </c>
      <c r="H94" s="1" t="n">
        <v>1.5900000333786</v>
      </c>
      <c r="I94" s="1" t="n">
        <v>9.00103664398193</v>
      </c>
    </row>
    <row r="95" customFormat="false" ht="14.3" hidden="false" customHeight="false" outlineLevel="0" collapsed="false">
      <c r="B95" s="1" t="n">
        <v>9.67250537872314</v>
      </c>
      <c r="C95" s="1" t="n">
        <v>1.63999998569488</v>
      </c>
      <c r="D95" s="1" t="n">
        <v>1.63999998569489</v>
      </c>
      <c r="E95" s="1" t="n">
        <v>9.96461582183838</v>
      </c>
      <c r="F95" s="1" t="n">
        <v>1.63999998569489</v>
      </c>
      <c r="G95" s="1" t="n">
        <v>10.3000001907349</v>
      </c>
      <c r="H95" s="1" t="n">
        <v>1.63999998569488</v>
      </c>
      <c r="I95" s="1" t="n">
        <v>9.67250537872314</v>
      </c>
    </row>
    <row r="96" customFormat="false" ht="14.3" hidden="false" customHeight="false" outlineLevel="0" collapsed="false">
      <c r="B96" s="1" t="n">
        <v>10.4361581802368</v>
      </c>
      <c r="C96" s="1" t="n">
        <v>1.69000005722045</v>
      </c>
      <c r="D96" s="1" t="n">
        <v>1.69000005722046</v>
      </c>
      <c r="E96" s="1" t="n">
        <v>11.0771064758301</v>
      </c>
      <c r="F96" s="1" t="n">
        <v>1.69000005722046</v>
      </c>
      <c r="G96" s="1" t="n">
        <v>11.5227003097534</v>
      </c>
      <c r="H96" s="1" t="n">
        <v>1.69000005722045</v>
      </c>
      <c r="I96" s="1" t="n">
        <v>10.4361581802368</v>
      </c>
    </row>
    <row r="97" customFormat="false" ht="14.3" hidden="false" customHeight="false" outlineLevel="0" collapsed="false">
      <c r="B97" s="1" t="n">
        <v>11.7950534820556</v>
      </c>
      <c r="C97" s="1" t="n">
        <v>1.75</v>
      </c>
      <c r="D97" s="1" t="n">
        <v>1.75</v>
      </c>
      <c r="E97" s="1" t="n">
        <v>12.5194597244263</v>
      </c>
      <c r="F97" s="1" t="n">
        <v>1.75</v>
      </c>
      <c r="G97" s="1" t="n">
        <v>12.884599685669</v>
      </c>
      <c r="H97" s="1" t="n">
        <v>1.75</v>
      </c>
      <c r="I97" s="1" t="n">
        <v>11.7950534820556</v>
      </c>
    </row>
    <row r="98" customFormat="false" ht="14.3" hidden="false" customHeight="false" outlineLevel="0" collapsed="false">
      <c r="B98" s="1" t="n">
        <v>13.7610311508178</v>
      </c>
      <c r="C98" s="1" t="n">
        <v>1.79999995231628</v>
      </c>
      <c r="D98" s="1" t="n">
        <v>1.79999995231628</v>
      </c>
      <c r="E98" s="1" t="n">
        <v>14.60618019104</v>
      </c>
      <c r="F98" s="1" t="n">
        <v>1.79999995231628</v>
      </c>
      <c r="G98" s="1" t="n">
        <v>14.384599685669</v>
      </c>
      <c r="H98" s="1" t="n">
        <v>1.79999995231628</v>
      </c>
      <c r="I98" s="1" t="n">
        <v>13.7610311508178</v>
      </c>
    </row>
    <row r="99" customFormat="false" ht="14.3" hidden="false" customHeight="false" outlineLevel="0" collapsed="false">
      <c r="B99" s="1" t="n">
        <v>14.7386865615844</v>
      </c>
      <c r="C99" s="1" t="n">
        <v>1.86000001430511</v>
      </c>
      <c r="D99" s="1" t="n">
        <v>1.86000001430512</v>
      </c>
      <c r="E99" s="1" t="n">
        <v>15.4889888763428</v>
      </c>
      <c r="F99" s="1" t="n">
        <v>1.86000001430512</v>
      </c>
      <c r="G99" s="1" t="n">
        <v>16.0340995788574</v>
      </c>
      <c r="H99" s="1" t="n">
        <v>1.86000001430511</v>
      </c>
      <c r="I99" s="1" t="n">
        <v>14.7386865615844</v>
      </c>
    </row>
    <row r="100" customFormat="false" ht="14.3" hidden="false" customHeight="false" outlineLevel="0" collapsed="false">
      <c r="B100" s="1" t="n">
        <v>16.3605556488037</v>
      </c>
      <c r="C100" s="1" t="n">
        <v>1.91999995708465</v>
      </c>
      <c r="D100" s="1" t="n">
        <v>1.91999995708466</v>
      </c>
      <c r="E100" s="1" t="n">
        <v>17.1934223175049</v>
      </c>
      <c r="F100" s="1" t="n">
        <v>1.91999995708466</v>
      </c>
      <c r="G100" s="1" t="n">
        <v>17.862699508667</v>
      </c>
      <c r="H100" s="1" t="n">
        <v>1.91999995708465</v>
      </c>
      <c r="I100" s="1" t="n">
        <v>16.3605556488037</v>
      </c>
    </row>
    <row r="101" customFormat="false" ht="14.3" hidden="false" customHeight="false" outlineLevel="0" collapsed="false">
      <c r="B101" s="1" t="n">
        <v>18.5462932586669</v>
      </c>
      <c r="C101" s="1" t="n">
        <v>1.98000001907348</v>
      </c>
      <c r="D101" s="1" t="n">
        <v>1.98000001907349</v>
      </c>
      <c r="E101" s="1" t="n">
        <v>19.4904289245606</v>
      </c>
      <c r="F101" s="1" t="n">
        <v>1.98000001907349</v>
      </c>
      <c r="G101" s="1" t="n">
        <v>19.9001998901367</v>
      </c>
      <c r="H101" s="1" t="n">
        <v>1.98000001907348</v>
      </c>
      <c r="I101" s="1" t="n">
        <v>18.5462932586669</v>
      </c>
    </row>
    <row r="102" customFormat="false" ht="14.3" hidden="false" customHeight="false" outlineLevel="0" collapsed="false">
      <c r="B102" s="1" t="n">
        <v>20.79270362854</v>
      </c>
      <c r="C102" s="1" t="n">
        <v>2.03999996185302</v>
      </c>
      <c r="D102" s="1" t="n">
        <v>2.03999996185303</v>
      </c>
      <c r="E102" s="1" t="n">
        <v>21.8512001037598</v>
      </c>
      <c r="F102" s="1" t="n">
        <v>2.03999996185303</v>
      </c>
      <c r="G102" s="1" t="n">
        <v>22.1583995819092</v>
      </c>
      <c r="H102" s="1" t="n">
        <v>2.03999996185302</v>
      </c>
      <c r="I102" s="1" t="n">
        <v>20.79270362854</v>
      </c>
    </row>
    <row r="103" customFormat="false" ht="14.3" hidden="false" customHeight="false" outlineLevel="0" collapsed="false">
      <c r="B103" s="1" t="n">
        <v>23.0110359191894</v>
      </c>
      <c r="C103" s="1" t="n">
        <v>2.10999989509582</v>
      </c>
      <c r="D103" s="1" t="n">
        <v>2.10999989509583</v>
      </c>
      <c r="E103" s="1" t="n">
        <v>24.1824588775635</v>
      </c>
      <c r="F103" s="1" t="n">
        <v>2.10999989509583</v>
      </c>
      <c r="G103" s="1" t="n">
        <v>24.6411991119385</v>
      </c>
      <c r="H103" s="1" t="n">
        <v>2.10999989509582</v>
      </c>
      <c r="I103" s="1" t="n">
        <v>23.0110359191894</v>
      </c>
    </row>
    <row r="104" customFormat="false" ht="14.3" hidden="false" customHeight="false" outlineLevel="0" collapsed="false">
      <c r="B104" s="1" t="n">
        <v>25.4813919067382</v>
      </c>
      <c r="C104" s="1" t="n">
        <v>2.17000007629394</v>
      </c>
      <c r="D104" s="1" t="n">
        <v>2.17000007629394</v>
      </c>
      <c r="E104" s="1" t="n">
        <v>26.7785739898682</v>
      </c>
      <c r="F104" s="1" t="n">
        <v>2.17000007629394</v>
      </c>
      <c r="G104" s="1" t="n">
        <v>27.3743000030518</v>
      </c>
      <c r="H104" s="1" t="n">
        <v>2.17000007629394</v>
      </c>
      <c r="I104" s="1" t="n">
        <v>25.4813919067382</v>
      </c>
    </row>
    <row r="105" customFormat="false" ht="14.3" hidden="false" customHeight="false" outlineLevel="0" collapsed="false">
      <c r="B105" s="1" t="n">
        <v>29.2976245880127</v>
      </c>
      <c r="C105" s="1" t="n">
        <v>2.24000000953674</v>
      </c>
      <c r="D105" s="1" t="n">
        <v>2.24000000953674</v>
      </c>
      <c r="E105" s="1" t="n">
        <v>30.1824131011963</v>
      </c>
      <c r="F105" s="1" t="n">
        <v>2.24000000953674</v>
      </c>
      <c r="G105" s="1" t="n">
        <v>30.4333992004394</v>
      </c>
      <c r="H105" s="1" t="n">
        <v>2.24000000953674</v>
      </c>
      <c r="I105" s="1" t="n">
        <v>29.2976245880127</v>
      </c>
    </row>
    <row r="106" customFormat="false" ht="14.3" hidden="false" customHeight="false" outlineLevel="0" collapsed="false">
      <c r="B106" s="1" t="n">
        <v>31.6532363891601</v>
      </c>
      <c r="C106" s="1" t="n">
        <v>2.31999993324279</v>
      </c>
      <c r="D106" s="1" t="n">
        <v>2.3199999332428</v>
      </c>
      <c r="E106" s="1" t="n">
        <v>31.9697685241699</v>
      </c>
      <c r="F106" s="1" t="n">
        <v>2.3199999332428</v>
      </c>
      <c r="G106" s="1" t="n">
        <v>33.9495010375977</v>
      </c>
      <c r="H106" s="1" t="n">
        <v>2.31999993324279</v>
      </c>
      <c r="I106" s="1" t="n">
        <v>31.6532363891601</v>
      </c>
    </row>
    <row r="107" customFormat="false" ht="14.3" hidden="false" customHeight="false" outlineLevel="0" collapsed="false">
      <c r="B107" s="1" t="n">
        <v>36.7943038940429</v>
      </c>
      <c r="C107" s="1" t="n">
        <v>2.39000010490417</v>
      </c>
      <c r="D107" s="1" t="n">
        <v>2.39000010490417</v>
      </c>
      <c r="E107" s="1" t="n">
        <v>36.794303894043</v>
      </c>
      <c r="F107" s="1" t="n">
        <v>2.39000010490417</v>
      </c>
      <c r="G107" s="1" t="n">
        <v>38.0831985473633</v>
      </c>
      <c r="H107" s="1" t="n">
        <v>2.39000010490417</v>
      </c>
      <c r="I107" s="1" t="n">
        <v>36.7943038940429</v>
      </c>
    </row>
    <row r="108" customFormat="false" ht="14.3" hidden="false" customHeight="false" outlineLevel="0" collapsed="false">
      <c r="B108" s="1" t="n">
        <v>40.5696220397949</v>
      </c>
      <c r="C108" s="1" t="n">
        <v>2.47000002861022</v>
      </c>
      <c r="D108" s="1" t="n">
        <v>2.47000002861023</v>
      </c>
      <c r="E108" s="1" t="n">
        <v>40.9753189086914</v>
      </c>
      <c r="F108" s="1" t="n">
        <v>2.47000002861023</v>
      </c>
      <c r="G108" s="1" t="n">
        <v>42.9807014465332</v>
      </c>
      <c r="H108" s="1" t="n">
        <v>2.47000002861022</v>
      </c>
      <c r="I108" s="1" t="n">
        <v>40.5696220397949</v>
      </c>
    </row>
    <row r="109" customFormat="false" ht="14.3" hidden="false" customHeight="false" outlineLevel="0" collapsed="false">
      <c r="B109" s="1" t="n">
        <v>47.0529289245605</v>
      </c>
      <c r="C109" s="1" t="n">
        <v>2.54999995231628</v>
      </c>
      <c r="D109" s="1" t="n">
        <v>2.54999995231628</v>
      </c>
      <c r="E109" s="1" t="n">
        <v>47.0529289245606</v>
      </c>
      <c r="F109" s="1" t="n">
        <v>2.54999995231628</v>
      </c>
      <c r="G109" s="1" t="n">
        <v>48.7335014343262</v>
      </c>
      <c r="H109" s="1" t="n">
        <v>2.54999995231628</v>
      </c>
      <c r="I109" s="1" t="n">
        <v>47.0529289245605</v>
      </c>
    </row>
    <row r="110" customFormat="false" ht="14.3" hidden="false" customHeight="false" outlineLevel="0" collapsed="false">
      <c r="B110" s="1" t="n">
        <v>54.0398445129394</v>
      </c>
      <c r="C110" s="1" t="n">
        <v>2.65000009536743</v>
      </c>
      <c r="D110" s="1" t="n">
        <v>2.63000011444092</v>
      </c>
      <c r="E110" s="1" t="n">
        <v>52.8632698059082</v>
      </c>
      <c r="F110" s="1" t="n">
        <v>2.63000011444092</v>
      </c>
      <c r="G110" s="1" t="n">
        <v>55.3432006835938</v>
      </c>
      <c r="H110" s="1" t="n">
        <v>2.65000009536743</v>
      </c>
      <c r="I110" s="1" t="n">
        <v>54.0398445129394</v>
      </c>
    </row>
    <row r="111" customFormat="false" ht="14.3" hidden="false" customHeight="false" outlineLevel="0" collapsed="false">
      <c r="B111" s="1" t="n">
        <v>62.2500991821289</v>
      </c>
      <c r="C111" s="1" t="n">
        <v>2.72710013389587</v>
      </c>
      <c r="D111" s="1" t="n">
        <v>2.73710012435913</v>
      </c>
      <c r="E111" s="1" t="n">
        <v>61.7400016784668</v>
      </c>
      <c r="F111" s="1" t="n">
        <v>2.73710012435913</v>
      </c>
      <c r="G111" s="1" t="n">
        <v>62.7047996520996</v>
      </c>
      <c r="H111" s="1" t="n">
        <v>2.72710013389587</v>
      </c>
      <c r="I111" s="1" t="n">
        <v>62.2500991821289</v>
      </c>
    </row>
    <row r="112" customFormat="false" ht="14.3" hidden="false" customHeight="false" outlineLevel="0" collapsed="false">
      <c r="B112" s="1" t="n">
        <v>69.9677658081054</v>
      </c>
      <c r="C112" s="1" t="n">
        <v>2.79999995231628</v>
      </c>
      <c r="D112" s="1" t="n">
        <v>2.8199999332428</v>
      </c>
      <c r="E112" s="1" t="n">
        <v>70.6900024414063</v>
      </c>
      <c r="F112" s="1" t="n">
        <v>2.8199999332428</v>
      </c>
      <c r="G112" s="1" t="n">
        <v>70.6614990234375</v>
      </c>
      <c r="H112" s="1" t="n">
        <v>2.79999995231628</v>
      </c>
      <c r="I112" s="1" t="n">
        <v>69.9677658081054</v>
      </c>
    </row>
    <row r="113" customFormat="false" ht="14.3" hidden="false" customHeight="false" outlineLevel="0" collapsed="false">
      <c r="B113" s="1" t="n">
        <v>78.5437316894531</v>
      </c>
      <c r="C113" s="1" t="n">
        <v>2.89000010490417</v>
      </c>
      <c r="D113" s="1" t="n">
        <v>2.91000008583069</v>
      </c>
      <c r="E113" s="1" t="n">
        <v>78.5400009155273</v>
      </c>
      <c r="F113" s="1" t="n">
        <v>2.91000008583069</v>
      </c>
      <c r="G113" s="1" t="n">
        <v>79.1484985351562</v>
      </c>
      <c r="H113" s="1" t="n">
        <v>2.89000010490417</v>
      </c>
      <c r="I113" s="1" t="n">
        <v>78.5437316894531</v>
      </c>
    </row>
    <row r="114" customFormat="false" ht="14.3" hidden="false" customHeight="false" outlineLevel="0" collapsed="false">
      <c r="B114" s="1" t="n">
        <v>89.6932983398437</v>
      </c>
      <c r="C114" s="1" t="n">
        <v>2.98000001907348</v>
      </c>
      <c r="D114" s="1" t="n">
        <v>2.98000001907349</v>
      </c>
      <c r="E114" s="1" t="n">
        <v>86.8399963378906</v>
      </c>
      <c r="F114" s="1" t="n">
        <v>2.98000001907349</v>
      </c>
      <c r="G114" s="1" t="n">
        <v>88.3421020507813</v>
      </c>
      <c r="H114" s="1" t="n">
        <v>2.98000001907348</v>
      </c>
      <c r="I114" s="1" t="n">
        <v>89.6932983398437</v>
      </c>
    </row>
    <row r="115" customFormat="false" ht="14.3" hidden="false" customHeight="false" outlineLevel="0" collapsed="false">
      <c r="B115" s="1" t="n">
        <v>99.8787994384765</v>
      </c>
      <c r="C115" s="1" t="n">
        <v>3.07999992370605</v>
      </c>
      <c r="D115" s="1" t="n">
        <v>3.0699999332428</v>
      </c>
      <c r="E115" s="1" t="n">
        <v>94.7363586425781</v>
      </c>
      <c r="F115" s="1" t="n">
        <v>3.0699999332428</v>
      </c>
      <c r="G115" s="1" t="n">
        <v>98.6639022827148</v>
      </c>
      <c r="H115" s="1" t="n">
        <v>3.07999992370605</v>
      </c>
      <c r="I115" s="1" t="n">
        <v>99.8787994384765</v>
      </c>
    </row>
    <row r="116" customFormat="false" ht="14.3" hidden="false" customHeight="false" outlineLevel="0" collapsed="false">
      <c r="B116" s="1" t="n">
        <v>110.101470947265</v>
      </c>
      <c r="C116" s="1" t="n">
        <v>3.1800000667572</v>
      </c>
      <c r="D116" s="1" t="n">
        <v>3.16000008583069</v>
      </c>
      <c r="E116" s="1" t="n">
        <v>105.176803588867</v>
      </c>
      <c r="F116" s="1" t="n">
        <v>3.16000008583069</v>
      </c>
      <c r="G116" s="1" t="n">
        <v>110.572601318359</v>
      </c>
      <c r="H116" s="1" t="n">
        <v>3.1800000667572</v>
      </c>
      <c r="I116" s="1" t="n">
        <v>110.101470947265</v>
      </c>
    </row>
    <row r="117" customFormat="false" ht="14.3" hidden="false" customHeight="false" outlineLevel="0" collapsed="false">
      <c r="B117" s="1" t="n">
        <v>123.865402221679</v>
      </c>
      <c r="C117" s="1" t="n">
        <v>3.26999998092651</v>
      </c>
      <c r="D117" s="1" t="n">
        <v>3.26999998092651</v>
      </c>
      <c r="E117" s="1" t="n">
        <v>118.453674316406</v>
      </c>
      <c r="F117" s="1" t="n">
        <v>3.26999998092651</v>
      </c>
      <c r="G117" s="1" t="n">
        <v>124.264099121094</v>
      </c>
      <c r="H117" s="1" t="n">
        <v>3.26999998092651</v>
      </c>
      <c r="I117" s="1" t="n">
        <v>123.865402221679</v>
      </c>
    </row>
    <row r="118" customFormat="false" ht="14.3" hidden="false" customHeight="false" outlineLevel="0" collapsed="false">
      <c r="B118" s="1" t="n">
        <v>140.70166015625</v>
      </c>
      <c r="C118" s="1" t="n">
        <v>3.38000011444091</v>
      </c>
      <c r="D118" s="1" t="n">
        <v>3.40000009536743</v>
      </c>
      <c r="E118" s="1" t="n">
        <v>140</v>
      </c>
      <c r="F118" s="1" t="n">
        <v>3.40000009536743</v>
      </c>
      <c r="G118" s="1" t="n">
        <v>139.564804077148</v>
      </c>
      <c r="H118" s="1" t="n">
        <v>3.38000011444091</v>
      </c>
      <c r="I118" s="1" t="n">
        <v>140.70166015625</v>
      </c>
    </row>
    <row r="119" customFormat="false" ht="14.3" hidden="false" customHeight="false" outlineLevel="0" collapsed="false">
      <c r="B119" s="1" t="n">
        <v>156.059204101562</v>
      </c>
      <c r="C119" s="1" t="n">
        <v>3.49000000953674</v>
      </c>
      <c r="D119" s="1" t="n">
        <v>3.50999999046326</v>
      </c>
      <c r="E119" s="1" t="n">
        <v>156.059204101563</v>
      </c>
      <c r="F119" s="1" t="n">
        <v>3.50999999046326</v>
      </c>
      <c r="G119" s="1" t="n">
        <v>156.182006835938</v>
      </c>
      <c r="H119" s="1" t="n">
        <v>3.49000000953674</v>
      </c>
      <c r="I119" s="1" t="n">
        <v>156.059204101562</v>
      </c>
    </row>
    <row r="120" customFormat="false" ht="14.3" hidden="false" customHeight="false" outlineLevel="0" collapsed="false">
      <c r="B120" s="1" t="n">
        <v>170.820449829101</v>
      </c>
      <c r="C120" s="1" t="n">
        <v>3.60999989509582</v>
      </c>
      <c r="D120" s="1" t="n">
        <v>3.60999989509583</v>
      </c>
      <c r="E120" s="1" t="n">
        <v>170.820449829102</v>
      </c>
      <c r="F120" s="1" t="n">
        <v>3.60999989509583</v>
      </c>
      <c r="G120" s="1" t="n">
        <v>174.08869934082</v>
      </c>
      <c r="H120" s="1" t="n">
        <v>3.60999989509582</v>
      </c>
      <c r="I120" s="1" t="n">
        <v>170.820449829101</v>
      </c>
    </row>
    <row r="121" customFormat="false" ht="14.3" hidden="false" customHeight="false" outlineLevel="0" collapsed="false">
      <c r="B121" s="1" t="n">
        <v>187.086959838867</v>
      </c>
      <c r="C121" s="1" t="n">
        <v>3.71000003814697</v>
      </c>
      <c r="D121" s="1" t="n">
        <v>3.71000003814697</v>
      </c>
      <c r="E121" s="1" t="n">
        <v>187.086959838867</v>
      </c>
      <c r="F121" s="1" t="n">
        <v>3.71000003814697</v>
      </c>
      <c r="G121" s="1" t="n">
        <v>193.619094848633</v>
      </c>
      <c r="H121" s="1" t="n">
        <v>3.71000003814697</v>
      </c>
      <c r="I121" s="1" t="n">
        <v>187.086959838867</v>
      </c>
    </row>
    <row r="122" customFormat="false" ht="14.3" hidden="false" customHeight="false" outlineLevel="0" collapsed="false">
      <c r="B122" s="1" t="n">
        <v>209.804107666015</v>
      </c>
      <c r="C122" s="1" t="n">
        <v>3.84999990463256</v>
      </c>
      <c r="D122" s="1" t="n">
        <v>3.84999990463257</v>
      </c>
      <c r="E122" s="1" t="n">
        <v>209.804107666016</v>
      </c>
      <c r="F122" s="1" t="n">
        <v>3.84999990463257</v>
      </c>
      <c r="G122" s="1" t="n">
        <v>215.169998168945</v>
      </c>
      <c r="H122" s="1" t="n">
        <v>3.84999990463256</v>
      </c>
      <c r="I122" s="1" t="n">
        <v>209.804107666015</v>
      </c>
    </row>
    <row r="123" customFormat="false" ht="14.3" hidden="false" customHeight="false" outlineLevel="0" collapsed="false">
      <c r="B123" s="1" t="n">
        <v>234.766662597656</v>
      </c>
      <c r="C123" s="1" t="n">
        <v>3.97499990463256</v>
      </c>
      <c r="D123" s="1" t="n">
        <v>3.97499990463257</v>
      </c>
      <c r="E123" s="1" t="n">
        <v>234.766662597656</v>
      </c>
      <c r="F123" s="1" t="n">
        <v>3.97499990463257</v>
      </c>
      <c r="G123" s="1" t="n">
        <v>238.853805541992</v>
      </c>
      <c r="H123" s="1" t="n">
        <v>3.97499990463256</v>
      </c>
      <c r="I123" s="1" t="n">
        <v>234.766662597656</v>
      </c>
    </row>
    <row r="124" customFormat="false" ht="14.3" hidden="false" customHeight="false" outlineLevel="0" collapsed="false">
      <c r="B124" s="1" t="n">
        <v>262.958618164062</v>
      </c>
      <c r="C124" s="1" t="n">
        <v>4.09999990463256</v>
      </c>
      <c r="D124" s="1" t="n">
        <v>4.09999990463257</v>
      </c>
      <c r="E124" s="1" t="n">
        <v>262.958618164062</v>
      </c>
      <c r="F124" s="1" t="n">
        <v>4.09999990463257</v>
      </c>
      <c r="G124" s="1" t="n">
        <v>264.430786132812</v>
      </c>
      <c r="H124" s="1" t="n">
        <v>4.09999990463256</v>
      </c>
      <c r="I124" s="1" t="n">
        <v>262.958618164062</v>
      </c>
    </row>
    <row r="125" customFormat="false" ht="14.3" hidden="false" customHeight="false" outlineLevel="0" collapsed="false">
      <c r="B125" s="1" t="n">
        <v>288.915008544921</v>
      </c>
      <c r="C125" s="1" t="n">
        <v>4.23999977111816</v>
      </c>
      <c r="D125" s="1" t="n">
        <v>4.23999977111816</v>
      </c>
      <c r="E125" s="1" t="n">
        <v>288.915008544922</v>
      </c>
      <c r="F125" s="1" t="n">
        <v>4.23999977111816</v>
      </c>
      <c r="G125" s="1" t="n">
        <v>291.453704833984</v>
      </c>
      <c r="H125" s="1" t="n">
        <v>4.23999977111816</v>
      </c>
      <c r="I125" s="1" t="n">
        <v>288.915008544921</v>
      </c>
    </row>
    <row r="126" customFormat="false" ht="14.3" hidden="false" customHeight="false" outlineLevel="0" collapsed="false">
      <c r="B126" s="1" t="n">
        <v>316.819732666015</v>
      </c>
      <c r="C126" s="1" t="n">
        <v>4.3600001335144</v>
      </c>
      <c r="D126" s="1" t="n">
        <v>4.3600001335144</v>
      </c>
      <c r="E126" s="1" t="n">
        <v>316.819732666016</v>
      </c>
      <c r="F126" s="1" t="n">
        <v>4.3600001335144</v>
      </c>
      <c r="G126" s="1" t="n">
        <v>319.294403076172</v>
      </c>
      <c r="H126" s="1" t="n">
        <v>4.3600001335144</v>
      </c>
      <c r="I126" s="1" t="n">
        <v>316.819732666015</v>
      </c>
    </row>
    <row r="127" customFormat="false" ht="14.3" hidden="false" customHeight="false" outlineLevel="0" collapsed="false">
      <c r="B127" s="1" t="n">
        <v>349.429290771484</v>
      </c>
      <c r="C127" s="1" t="n">
        <v>4.51000022888183</v>
      </c>
      <c r="D127" s="1" t="n">
        <v>4.51000022888184</v>
      </c>
      <c r="E127" s="1" t="n">
        <v>349.429290771484</v>
      </c>
      <c r="F127" s="1" t="n">
        <v>4.51000022888184</v>
      </c>
      <c r="G127" s="1" t="n">
        <v>346.873107910156</v>
      </c>
      <c r="H127" s="1" t="n">
        <v>4.51000022888183</v>
      </c>
      <c r="I127" s="1" t="n">
        <v>349.429290771484</v>
      </c>
    </row>
    <row r="128" customFormat="false" ht="14.3" hidden="false" customHeight="false" outlineLevel="0" collapsed="false">
      <c r="B128" s="1" t="n">
        <v>379.2666015625</v>
      </c>
      <c r="C128" s="1" t="n">
        <v>4.67000007629394</v>
      </c>
      <c r="D128" s="1" t="n">
        <v>4.67000007629395</v>
      </c>
      <c r="E128" s="1" t="n">
        <v>379.2666015625</v>
      </c>
      <c r="F128" s="1" t="n">
        <v>4.67000007629395</v>
      </c>
      <c r="G128" s="1" t="n">
        <v>372.220092773437</v>
      </c>
      <c r="H128" s="1" t="n">
        <v>4.67000007629394</v>
      </c>
      <c r="I128" s="1" t="n">
        <v>379.2666015625</v>
      </c>
    </row>
    <row r="129" customFormat="false" ht="14.3" hidden="false" customHeight="false" outlineLevel="0" collapsed="false">
      <c r="B129" s="1" t="n">
        <v>404.859222412109</v>
      </c>
      <c r="C129" s="1" t="n">
        <v>4.80000019073486</v>
      </c>
      <c r="D129" s="1" t="n">
        <v>4.80000019073486</v>
      </c>
      <c r="E129" s="1" t="n">
        <v>404.859222412109</v>
      </c>
      <c r="F129" s="1" t="n">
        <v>4.80000019073486</v>
      </c>
      <c r="G129" s="1" t="n">
        <v>392.284393310547</v>
      </c>
      <c r="H129" s="1" t="n">
        <v>4.80000019073486</v>
      </c>
      <c r="I129" s="1" t="n">
        <v>404.859222412109</v>
      </c>
    </row>
    <row r="130" customFormat="false" ht="14.3" hidden="false" customHeight="false" outlineLevel="0" collapsed="false">
      <c r="B130" s="1" t="n">
        <v>440.614990234375</v>
      </c>
      <c r="C130" s="1" t="n">
        <v>4.96000003814697</v>
      </c>
      <c r="D130" s="1" t="n">
        <v>4.96000003814697</v>
      </c>
      <c r="E130" s="1" t="n">
        <v>440.614990234375</v>
      </c>
      <c r="F130" s="1" t="n">
        <v>4.96000003814697</v>
      </c>
      <c r="G130" s="1" t="n">
        <v>403.549713134766</v>
      </c>
      <c r="H130" s="1" t="n">
        <v>4.96000003814697</v>
      </c>
      <c r="I130" s="1" t="n">
        <v>440.614990234375</v>
      </c>
    </row>
    <row r="141" customFormat="false" ht="13.8" hidden="false" customHeight="false" outlineLevel="0" collapsed="false"/>
    <row r="142" customFormat="false" ht="13.8" hidden="false" customHeight="false" outlineLevel="0" collapsed="false"/>
    <row r="143" customFormat="false" ht="13.8" hidden="false" customHeight="false" outlineLevel="0" collapsed="false"/>
    <row r="144" customFormat="false" ht="13.8" hidden="false" customHeight="false" outlineLevel="0" collapsed="false"/>
    <row r="145" customFormat="false" ht="13.8" hidden="false" customHeight="false" outlineLevel="0" collapsed="false"/>
    <row r="146" customFormat="false" ht="13.8" hidden="false" customHeight="false" outlineLevel="0" collapsed="false"/>
    <row r="147" customFormat="false" ht="13.8" hidden="false" customHeight="false" outlineLevel="0" collapsed="false"/>
    <row r="148" customFormat="false" ht="13.8" hidden="false" customHeight="false" outlineLevel="0" collapsed="false"/>
    <row r="149" customFormat="false" ht="13.8" hidden="false" customHeight="false" outlineLevel="0" collapsed="false"/>
    <row r="150" customFormat="false" ht="13.8" hidden="false" customHeight="false" outlineLevel="0" collapsed="false"/>
    <row r="151" customFormat="false" ht="13.8" hidden="false" customHeight="false" outlineLevel="0" collapsed="false"/>
    <row r="152" customFormat="false" ht="13.8" hidden="false" customHeight="false" outlineLevel="0" collapsed="false"/>
    <row r="153" customFormat="false" ht="13.8" hidden="false" customHeight="false" outlineLevel="0" collapsed="false"/>
    <row r="154" customFormat="false" ht="13.8" hidden="false" customHeight="false" outlineLevel="0" collapsed="false"/>
    <row r="155" customFormat="false" ht="13.8" hidden="false" customHeight="false" outlineLevel="0" collapsed="false"/>
    <row r="156" customFormat="false" ht="13.8" hidden="false" customHeight="false" outlineLevel="0" collapsed="false"/>
    <row r="157" customFormat="false" ht="13.8" hidden="false" customHeight="false" outlineLevel="0" collapsed="false"/>
    <row r="158" customFormat="false" ht="13.8" hidden="false" customHeight="false" outlineLevel="0" collapsed="false"/>
    <row r="159" customFormat="false" ht="13.8" hidden="false" customHeight="false" outlineLevel="0" collapsed="false"/>
    <row r="160" customFormat="false" ht="13.8" hidden="false" customHeight="false" outlineLevel="0" collapsed="false"/>
    <row r="161" customFormat="false" ht="13.8" hidden="false" customHeight="false" outlineLevel="0" collapsed="false"/>
    <row r="162" customFormat="false" ht="13.8" hidden="false" customHeight="false" outlineLevel="0" collapsed="false"/>
    <row r="163" customFormat="false" ht="13.8" hidden="false" customHeight="false" outlineLevel="0" collapsed="false"/>
    <row r="164" customFormat="false" ht="13.8" hidden="false" customHeight="false" outlineLevel="0" collapsed="false"/>
    <row r="165" customFormat="false" ht="13.8" hidden="false" customHeight="false" outlineLevel="0" collapsed="false"/>
    <row r="166" customFormat="false" ht="13.8" hidden="false" customHeight="false" outlineLevel="0" collapsed="false"/>
    <row r="167" customFormat="false" ht="13.8" hidden="false" customHeight="false" outlineLevel="0" collapsed="false"/>
    <row r="168" customFormat="false" ht="13.8" hidden="false" customHeight="false" outlineLevel="0" collapsed="false"/>
    <row r="169" customFormat="false" ht="13.8" hidden="false" customHeight="false" outlineLevel="0" collapsed="false"/>
    <row r="170" customFormat="false" ht="13.8" hidden="false" customHeight="false" outlineLevel="0" collapsed="false"/>
    <row r="171" customFormat="false" ht="13.8" hidden="false" customHeight="false" outlineLevel="0" collapsed="false"/>
    <row r="172" customFormat="false" ht="13.8" hidden="false" customHeight="false" outlineLevel="0" collapsed="false"/>
    <row r="173" customFormat="false" ht="13.8" hidden="false" customHeight="false" outlineLevel="0" collapsed="false"/>
    <row r="174" customFormat="false" ht="13.8" hidden="false" customHeight="false" outlineLevel="0" collapsed="false"/>
    <row r="175" customFormat="false" ht="13.8" hidden="false" customHeight="false" outlineLevel="0" collapsed="false"/>
    <row r="176" customFormat="false" ht="13.8" hidden="false" customHeight="false" outlineLevel="0" collapsed="false"/>
    <row r="177" customFormat="false" ht="13.8" hidden="false" customHeight="false" outlineLevel="0" collapsed="false"/>
    <row r="178" customFormat="false" ht="13.8" hidden="false" customHeight="false" outlineLevel="0" collapsed="false"/>
    <row r="179" customFormat="false" ht="13.8" hidden="false" customHeight="false" outlineLevel="0" collapsed="false"/>
    <row r="180" customFormat="false" ht="13.8" hidden="false" customHeight="false" outlineLevel="0" collapsed="false"/>
    <row r="181" customFormat="false" ht="13.8" hidden="false" customHeight="false" outlineLevel="0" collapsed="false"/>
    <row r="182" customFormat="false" ht="13.8" hidden="false" customHeight="false" outlineLevel="0" collapsed="false"/>
    <row r="183" customFormat="false" ht="13.8" hidden="false" customHeight="false" outlineLevel="0" collapsed="false"/>
    <row r="184" customFormat="false" ht="13.8" hidden="false" customHeight="false" outlineLevel="0" collapsed="false"/>
    <row r="185" customFormat="false" ht="13.8" hidden="false" customHeight="false" outlineLevel="0" collapsed="false"/>
    <row r="186" customFormat="false" ht="13.8" hidden="false" customHeight="false" outlineLevel="0" collapsed="false"/>
    <row r="187" customFormat="false" ht="13.8" hidden="false" customHeight="false" outlineLevel="0" collapsed="false"/>
    <row r="188" customFormat="false" ht="13.8" hidden="false" customHeight="false" outlineLevel="0" collapsed="false"/>
    <row r="189" customFormat="false" ht="13.8" hidden="false" customHeight="false" outlineLevel="0" collapsed="false"/>
    <row r="190" customFormat="false" ht="13.8" hidden="false" customHeight="false" outlineLevel="0" collapsed="false"/>
    <row r="191" customFormat="false" ht="13.8" hidden="false" customHeight="false" outlineLevel="0" collapsed="false"/>
    <row r="192" customFormat="false" ht="13.8" hidden="false" customHeight="false" outlineLevel="0" collapsed="false"/>
    <row r="193" customFormat="false" ht="13.8" hidden="false" customHeight="false" outlineLevel="0" collapsed="false"/>
    <row r="194" customFormat="false" ht="13.8" hidden="false" customHeight="false" outlineLevel="0" collapsed="false"/>
  </sheetData>
  <printOptions headings="false" gridLines="false" gridLinesSet="true" horizontalCentered="false" verticalCentered="false"/>
  <pageMargins left="0.7" right="0.7" top="1.14375" bottom="1.14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171875" defaultRowHeight="14.3" customHeight="true" zeroHeight="false" outlineLevelRow="0" outlineLevelCol="0"/>
  <cols>
    <col collapsed="false" customWidth="true" hidden="false" outlineLevel="0" max="1025" min="1" style="1" width="8"/>
  </cols>
  <sheetData/>
  <printOptions headings="false" gridLines="false" gridLinesSet="true" horizontalCentered="false" verticalCentered="false"/>
  <pageMargins left="0.7" right="0.7" top="1.14375" bottom="1.14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Z40" activeCellId="0" sqref="Z40"/>
    </sheetView>
  </sheetViews>
  <sheetFormatPr defaultColWidth="8.6171875" defaultRowHeight="14.3" customHeight="true" zeroHeight="false" outlineLevelRow="0" outlineLevelCol="0"/>
  <cols>
    <col collapsed="false" customWidth="true" hidden="false" outlineLevel="0" max="1025" min="1" style="1" width="8"/>
  </cols>
  <sheetData/>
  <printOptions headings="false" gridLines="false" gridLinesSet="true" horizontalCentered="false" verticalCentered="false"/>
  <pageMargins left="0.7" right="0.7" top="1.14375" bottom="1.14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171875" defaultRowHeight="14.3" customHeight="true" zeroHeight="false" outlineLevelRow="0" outlineLevelCol="0"/>
  <cols>
    <col collapsed="false" customWidth="true" hidden="false" outlineLevel="0" max="1025" min="1" style="1" width="8"/>
  </cols>
  <sheetData/>
  <printOptions headings="false" gridLines="false" gridLinesSet="true" horizontalCentered="false" verticalCentered="false"/>
  <pageMargins left="0.7" right="0.7" top="1.14375" bottom="1.14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171875" defaultRowHeight="14.3" customHeight="true" zeroHeight="false" outlineLevelRow="0" outlineLevelCol="0"/>
  <cols>
    <col collapsed="false" customWidth="true" hidden="false" outlineLevel="0" max="1025" min="1" style="1" width="8"/>
  </cols>
  <sheetData/>
  <printOptions headings="false" gridLines="false" gridLinesSet="true" horizontalCentered="false" verticalCentered="false"/>
  <pageMargins left="0.7" right="0.7" top="1.14375" bottom="1.14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I46:N4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171875" defaultRowHeight="14.3" customHeight="true" zeroHeight="false" outlineLevelRow="0" outlineLevelCol="0"/>
  <cols>
    <col collapsed="false" customWidth="true" hidden="false" outlineLevel="0" max="26" min="1" style="1" width="8"/>
    <col collapsed="false" customWidth="true" hidden="false" outlineLevel="0" max="27" min="27" style="1" width="8.33"/>
    <col collapsed="false" customWidth="true" hidden="false" outlineLevel="0" max="1025" min="28" style="1" width="8"/>
  </cols>
  <sheetData>
    <row r="46" customFormat="false" ht="14.3" hidden="false" customHeight="false" outlineLevel="0" collapsed="false">
      <c r="I46" s="1" t="s">
        <v>50</v>
      </c>
      <c r="J46" s="1" t="n">
        <v>13.54</v>
      </c>
    </row>
    <row r="47" customFormat="false" ht="14.3" hidden="false" customHeight="false" outlineLevel="0" collapsed="false">
      <c r="J47" s="2" t="s">
        <v>29</v>
      </c>
      <c r="K47" s="2" t="s">
        <v>51</v>
      </c>
      <c r="L47" s="2" t="s">
        <v>52</v>
      </c>
      <c r="M47" s="2" t="s">
        <v>53</v>
      </c>
      <c r="N47" s="2" t="s">
        <v>54</v>
      </c>
    </row>
    <row r="48" customFormat="false" ht="14.3" hidden="false" customHeight="false" outlineLevel="0" collapsed="false">
      <c r="I48" s="2" t="s">
        <v>55</v>
      </c>
      <c r="J48" s="1" t="n">
        <f aca="false">Shaping!U9</f>
        <v>3.90300276945739</v>
      </c>
      <c r="K48" s="1" t="n">
        <f aca="false">1/J46*J48</f>
        <v>0.288257220787104</v>
      </c>
      <c r="L48" s="1" t="n">
        <f aca="false">K48/K49</f>
        <v>0.352348795252227</v>
      </c>
      <c r="M48" s="22" t="n">
        <f aca="false">J48/K48</f>
        <v>13.54</v>
      </c>
    </row>
    <row r="49" customFormat="false" ht="14.3" hidden="false" customHeight="false" outlineLevel="0" collapsed="false">
      <c r="I49" s="2" t="s">
        <v>56</v>
      </c>
      <c r="J49" s="23" t="n">
        <f aca="false">Shaping!U4</f>
        <v>11.0770998001099</v>
      </c>
      <c r="K49" s="1" t="n">
        <f aca="false">1/J46*J49</f>
        <v>0.818101905473402</v>
      </c>
      <c r="M49" s="22" t="n">
        <f aca="false">J48/K49</f>
        <v>4.77080268771515</v>
      </c>
      <c r="N49" s="1" t="n">
        <f aca="false">M49/M48</f>
        <v>0.352348795252227</v>
      </c>
    </row>
  </sheetData>
  <printOptions headings="false" gridLines="false" gridLinesSet="true" horizontalCentered="false" verticalCentered="false"/>
  <pageMargins left="0.7" right="0.7" top="1.14375" bottom="1.14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171875" defaultRowHeight="14.3" customHeight="true" zeroHeight="false" outlineLevelRow="0" outlineLevelCol="0"/>
  <cols>
    <col collapsed="false" customWidth="true" hidden="false" outlineLevel="0" max="1025" min="1" style="1" width="8"/>
  </cols>
  <sheetData/>
  <printOptions headings="false" gridLines="false" gridLinesSet="true" horizontalCentered="false" verticalCentered="false"/>
  <pageMargins left="0.7" right="0.7" top="1.14375" bottom="1.14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171875" defaultRowHeight="14.3" customHeight="true" zeroHeight="false" outlineLevelRow="0" outlineLevelCol="0"/>
  <cols>
    <col collapsed="false" customWidth="true" hidden="false" outlineLevel="0" max="1025" min="1" style="1" width="8"/>
  </cols>
  <sheetData/>
  <printOptions headings="false" gridLines="false" gridLinesSet="true" horizontalCentered="false" verticalCentered="false"/>
  <pageMargins left="0.7" right="0.7" top="1.14375" bottom="1.143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G54"/>
  <sheetViews>
    <sheetView showFormulas="false" showGridLines="true" showRowColHeaders="true" showZeros="true" rightToLeft="false" tabSelected="false" showOutlineSymbols="true" defaultGridColor="true" view="normal" topLeftCell="A1" colorId="64" zoomScale="73" zoomScaleNormal="73" zoomScalePageLayoutView="100" workbookViewId="0">
      <selection pane="topLeft" activeCell="D2" activeCellId="0" sqref="D2"/>
    </sheetView>
  </sheetViews>
  <sheetFormatPr defaultColWidth="10.4921875" defaultRowHeight="12.8" customHeight="true" zeroHeight="false" outlineLevelRow="0" outlineLevelCol="0"/>
  <sheetData>
    <row r="1" customFormat="false" ht="13.8" hidden="false" customHeight="false" outlineLevel="0" collapsed="false">
      <c r="A1" s="24" t="n">
        <v>0.930000007152557</v>
      </c>
      <c r="B1" s="24" t="n">
        <v>1.27519905567169</v>
      </c>
      <c r="D1" s="24" t="n">
        <v>0.930000007152557</v>
      </c>
      <c r="E1" s="24" t="n">
        <v>0.939999997615814</v>
      </c>
      <c r="F1" s="24" t="n">
        <v>0.987100005149841</v>
      </c>
      <c r="G1" s="24" t="n">
        <v>1</v>
      </c>
      <c r="H1" s="24" t="n">
        <v>1.05869996547699</v>
      </c>
      <c r="I1" s="24" t="n">
        <v>1.07270002365112</v>
      </c>
      <c r="J1" s="24" t="n">
        <v>1.1282000541687</v>
      </c>
      <c r="K1" s="24" t="n">
        <v>1.14030003547669</v>
      </c>
      <c r="L1" s="24" t="n">
        <v>1.18040001392365</v>
      </c>
      <c r="M1" s="24" t="n">
        <v>1.22010004520416</v>
      </c>
      <c r="N1" s="24" t="n">
        <v>1.27999997138977</v>
      </c>
      <c r="O1" s="24" t="n">
        <v>1.30209994316101</v>
      </c>
      <c r="P1" s="24" t="n">
        <v>1.36280000209808</v>
      </c>
      <c r="Q1" s="24" t="n">
        <v>1.39479994773865</v>
      </c>
      <c r="R1" s="24" t="n">
        <v>1.45000004768372</v>
      </c>
      <c r="S1" s="24" t="n">
        <v>1.48010003566742</v>
      </c>
      <c r="T1" s="24" t="n">
        <v>1.54729998111725</v>
      </c>
      <c r="U1" s="24" t="n">
        <v>1.59300005435944</v>
      </c>
      <c r="V1" s="24" t="n">
        <v>1.64170002937317</v>
      </c>
      <c r="W1" s="24" t="n">
        <v>1.67999994754791</v>
      </c>
      <c r="X1" s="24" t="n">
        <v>1.74510002136231</v>
      </c>
      <c r="Y1" s="24" t="n">
        <v>1.80999994277954</v>
      </c>
      <c r="Z1" s="24" t="n">
        <v>1.85000002384186</v>
      </c>
      <c r="AA1" s="24" t="n">
        <v>1.9099999666214</v>
      </c>
      <c r="AB1" s="24" t="n">
        <v>1.98880004882813</v>
      </c>
      <c r="AC1" s="24" t="n">
        <v>2.04999995231628</v>
      </c>
      <c r="AD1" s="24" t="n">
        <v>2.11520004272461</v>
      </c>
      <c r="AE1" s="24" t="n">
        <v>2.16820001602173</v>
      </c>
      <c r="AF1" s="24" t="n">
        <v>2.25300002098084</v>
      </c>
      <c r="AG1" s="24" t="n">
        <v>2.28489995002747</v>
      </c>
      <c r="AH1" s="24" t="n">
        <v>2.38770008087158</v>
      </c>
      <c r="AI1" s="24" t="n">
        <v>2.44899988174439</v>
      </c>
      <c r="AJ1" s="24" t="n">
        <v>2.54819989204407</v>
      </c>
      <c r="AK1" s="24" t="n">
        <v>2.61999988555908</v>
      </c>
      <c r="AL1" s="24" t="n">
        <v>2.73270010948181</v>
      </c>
      <c r="AM1" s="24" t="n">
        <v>2.82739996910095</v>
      </c>
      <c r="AN1" s="24" t="n">
        <v>2.91249990463257</v>
      </c>
      <c r="AO1" s="24" t="n">
        <v>2.99000000953674</v>
      </c>
      <c r="AP1" s="24" t="n">
        <v>3.06539988517761</v>
      </c>
      <c r="AQ1" s="24" t="n">
        <v>3.15079998970032</v>
      </c>
      <c r="AR1" s="24" t="n">
        <v>3.25999999046326</v>
      </c>
      <c r="AS1" s="24" t="n">
        <v>3.40799999237061</v>
      </c>
      <c r="AT1" s="24" t="n">
        <v>3.51999998092651</v>
      </c>
      <c r="AU1" s="24" t="n">
        <v>3.6136999130249</v>
      </c>
      <c r="AV1" s="24" t="n">
        <v>3.70980000495911</v>
      </c>
      <c r="AW1" s="24" t="n">
        <v>3.83999991416931</v>
      </c>
      <c r="AX1" s="24" t="n">
        <v>3.96770000457764</v>
      </c>
      <c r="AY1" s="24" t="n">
        <v>4.1100001335144</v>
      </c>
      <c r="AZ1" s="24" t="n">
        <v>4.23379993438721</v>
      </c>
      <c r="BA1" s="24" t="n">
        <v>4.36899995803833</v>
      </c>
      <c r="BB1" s="24" t="n">
        <v>4.51999998092651</v>
      </c>
      <c r="BC1" s="24" t="n">
        <v>4.66709995269775</v>
      </c>
      <c r="BD1" s="24" t="n">
        <v>4.78999996185303</v>
      </c>
      <c r="BE1" s="24" t="n">
        <v>4.96339988708496</v>
      </c>
      <c r="BF1" s="24"/>
      <c r="BG1" s="24"/>
    </row>
    <row r="2" customFormat="false" ht="13.8" hidden="false" customHeight="false" outlineLevel="0" collapsed="false">
      <c r="A2" s="24" t="n">
        <v>0.939999997615814</v>
      </c>
      <c r="B2" s="24" t="n">
        <v>1.39710319042206</v>
      </c>
      <c r="D2" s="24" t="n">
        <v>1.27519905567169</v>
      </c>
      <c r="E2" s="24" t="n">
        <v>1.39710319042206</v>
      </c>
      <c r="F2" s="24" t="n">
        <v>1.56088542938232</v>
      </c>
      <c r="G2" s="24" t="n">
        <v>1.73435366153717</v>
      </c>
      <c r="H2" s="24" t="n">
        <v>1.84894692897797</v>
      </c>
      <c r="I2" s="24" t="n">
        <v>2.06866574287415</v>
      </c>
      <c r="J2" s="24" t="n">
        <v>2.54945755004883</v>
      </c>
      <c r="K2" s="24" t="n">
        <v>2.76079678535461</v>
      </c>
      <c r="L2" s="24" t="n">
        <v>3.19979906082153</v>
      </c>
      <c r="M2" s="24" t="n">
        <v>3.89676022529602</v>
      </c>
      <c r="N2" s="24" t="n">
        <v>4.44396162033081</v>
      </c>
      <c r="O2" s="24" t="n">
        <v>4.56136798858643</v>
      </c>
      <c r="P2" s="24" t="n">
        <v>5.62495613098145</v>
      </c>
      <c r="Q2" s="24" t="n">
        <v>6.22537088394165</v>
      </c>
      <c r="R2" s="24" t="n">
        <v>6.43613862991333</v>
      </c>
      <c r="S2" s="24" t="n">
        <v>7.57886123657227</v>
      </c>
      <c r="T2" s="24" t="n">
        <v>7.80774879455566</v>
      </c>
      <c r="U2" s="24" t="n">
        <v>9.45653247833252</v>
      </c>
      <c r="V2" s="24" t="n">
        <v>9.964599609375</v>
      </c>
      <c r="W2" s="24" t="n">
        <v>11.0770998001099</v>
      </c>
      <c r="X2" s="24" t="n">
        <v>12.5194997787476</v>
      </c>
      <c r="Y2" s="24" t="n">
        <v>15.0081624984741</v>
      </c>
      <c r="Z2" s="24" t="n">
        <v>15.6571998596191</v>
      </c>
      <c r="AA2" s="24" t="n">
        <v>17.5491237640381</v>
      </c>
      <c r="AB2" s="24" t="n">
        <v>20.1315269470215</v>
      </c>
      <c r="AC2" s="24" t="n">
        <v>22.0675048828125</v>
      </c>
      <c r="AD2" s="24" t="n">
        <v>24.2800731658936</v>
      </c>
      <c r="AE2" s="24" t="n">
        <v>27.4472961425781</v>
      </c>
      <c r="AF2" s="24" t="n">
        <v>30.9146862030029</v>
      </c>
      <c r="AG2" s="24" t="n">
        <v>33.7314414978027</v>
      </c>
      <c r="AH2" s="24" t="n">
        <v>37.5734634399414</v>
      </c>
      <c r="AI2" s="24" t="n">
        <v>42.2183265686035</v>
      </c>
      <c r="AJ2" s="24" t="n">
        <v>47.372917175293</v>
      </c>
      <c r="AK2" s="24" t="n">
        <v>50.5260696411133</v>
      </c>
      <c r="AL2" s="24" t="n">
        <v>58.5389595031738</v>
      </c>
      <c r="AM2" s="24" t="n">
        <v>67.1706237792969</v>
      </c>
      <c r="AN2" s="24" t="n">
        <v>72.7894744873047</v>
      </c>
      <c r="AO2" s="24" t="n">
        <v>84.9892501831055</v>
      </c>
      <c r="AP2" s="24" t="n">
        <v>90.1319732666016</v>
      </c>
      <c r="AQ2" s="24" t="n">
        <v>100.619087219238</v>
      </c>
      <c r="AR2" s="24" t="n">
        <v>114.256034851074</v>
      </c>
      <c r="AS2" s="24" t="n">
        <v>138.519149780273</v>
      </c>
      <c r="AT2" s="24" t="n">
        <v>165.102005004883</v>
      </c>
      <c r="AU2" s="24" t="n">
        <v>172.401794433594</v>
      </c>
      <c r="AV2" s="24" t="n">
        <v>177.898651123047</v>
      </c>
      <c r="AW2" s="24" t="n">
        <v>203.509963989258</v>
      </c>
      <c r="AX2" s="24" t="n">
        <v>232.278167724609</v>
      </c>
      <c r="AY2" s="24" t="n">
        <v>262.958587646484</v>
      </c>
      <c r="AZ2" s="24" t="n">
        <v>291.804168701172</v>
      </c>
      <c r="BA2" s="24" t="n">
        <v>323.187774658203</v>
      </c>
      <c r="BB2" s="24" t="n">
        <v>356.452819824219</v>
      </c>
      <c r="BC2" s="24" t="n">
        <v>379.2666015625</v>
      </c>
      <c r="BD2" s="24" t="n">
        <v>404.859191894531</v>
      </c>
      <c r="BE2" s="24" t="n">
        <v>440.614990234375</v>
      </c>
      <c r="BF2" s="24"/>
      <c r="BG2" s="24"/>
    </row>
    <row r="3" customFormat="false" ht="13.8" hidden="false" customHeight="false" outlineLevel="0" collapsed="false">
      <c r="A3" s="24" t="n">
        <v>0.987100005149841</v>
      </c>
      <c r="B3" s="24" t="n">
        <v>1.56088542938232</v>
      </c>
    </row>
    <row r="4" customFormat="false" ht="13.8" hidden="false" customHeight="false" outlineLevel="0" collapsed="false">
      <c r="A4" s="24" t="n">
        <v>1</v>
      </c>
      <c r="B4" s="24" t="n">
        <v>1.73435366153717</v>
      </c>
    </row>
    <row r="5" customFormat="false" ht="13.8" hidden="false" customHeight="false" outlineLevel="0" collapsed="false">
      <c r="A5" s="24" t="n">
        <v>1.05869996547699</v>
      </c>
      <c r="B5" s="24" t="n">
        <v>1.84894692897797</v>
      </c>
    </row>
    <row r="6" customFormat="false" ht="13.8" hidden="false" customHeight="false" outlineLevel="0" collapsed="false">
      <c r="A6" s="24" t="n">
        <v>1.07270002365112</v>
      </c>
      <c r="B6" s="24" t="n">
        <v>2.06866574287415</v>
      </c>
    </row>
    <row r="7" customFormat="false" ht="13.8" hidden="false" customHeight="false" outlineLevel="0" collapsed="false">
      <c r="A7" s="24" t="n">
        <v>1.1282000541687</v>
      </c>
      <c r="B7" s="24" t="n">
        <v>2.54945755004883</v>
      </c>
    </row>
    <row r="8" customFormat="false" ht="13.8" hidden="false" customHeight="false" outlineLevel="0" collapsed="false">
      <c r="A8" s="24" t="n">
        <v>1.14030003547669</v>
      </c>
      <c r="B8" s="24" t="n">
        <v>2.76079678535461</v>
      </c>
    </row>
    <row r="9" customFormat="false" ht="13.8" hidden="false" customHeight="false" outlineLevel="0" collapsed="false">
      <c r="A9" s="24" t="n">
        <v>1.18040001392365</v>
      </c>
      <c r="B9" s="24" t="n">
        <v>3.19979906082153</v>
      </c>
    </row>
    <row r="10" customFormat="false" ht="13.8" hidden="false" customHeight="false" outlineLevel="0" collapsed="false">
      <c r="A10" s="24" t="n">
        <v>1.22010004520416</v>
      </c>
      <c r="B10" s="24" t="n">
        <v>3.89676022529602</v>
      </c>
    </row>
    <row r="11" customFormat="false" ht="13.8" hidden="false" customHeight="false" outlineLevel="0" collapsed="false">
      <c r="A11" s="24" t="n">
        <v>1.27999997138977</v>
      </c>
      <c r="B11" s="24" t="n">
        <v>4.44396162033081</v>
      </c>
    </row>
    <row r="12" customFormat="false" ht="13.8" hidden="false" customHeight="false" outlineLevel="0" collapsed="false">
      <c r="A12" s="24" t="n">
        <v>1.30209994316101</v>
      </c>
      <c r="B12" s="24" t="n">
        <v>4.56136798858643</v>
      </c>
    </row>
    <row r="13" customFormat="false" ht="13.8" hidden="false" customHeight="false" outlineLevel="0" collapsed="false">
      <c r="A13" s="24" t="n">
        <v>1.36280000209808</v>
      </c>
      <c r="B13" s="24" t="n">
        <v>5.62495613098145</v>
      </c>
    </row>
    <row r="14" customFormat="false" ht="13.8" hidden="false" customHeight="false" outlineLevel="0" collapsed="false">
      <c r="A14" s="24" t="n">
        <v>1.39479994773865</v>
      </c>
      <c r="B14" s="24" t="n">
        <v>6.22537088394165</v>
      </c>
    </row>
    <row r="15" customFormat="false" ht="13.8" hidden="false" customHeight="false" outlineLevel="0" collapsed="false">
      <c r="A15" s="24" t="n">
        <v>1.45000004768372</v>
      </c>
      <c r="B15" s="24" t="n">
        <v>6.43613862991333</v>
      </c>
    </row>
    <row r="16" customFormat="false" ht="13.8" hidden="false" customHeight="false" outlineLevel="0" collapsed="false">
      <c r="A16" s="24" t="n">
        <v>1.48010003566742</v>
      </c>
      <c r="B16" s="24" t="n">
        <v>7.57886123657227</v>
      </c>
    </row>
    <row r="17" customFormat="false" ht="13.8" hidden="false" customHeight="false" outlineLevel="0" collapsed="false">
      <c r="A17" s="24" t="n">
        <v>1.54729998111725</v>
      </c>
      <c r="B17" s="24" t="n">
        <v>7.80774879455566</v>
      </c>
    </row>
    <row r="18" customFormat="false" ht="13.8" hidden="false" customHeight="false" outlineLevel="0" collapsed="false">
      <c r="A18" s="24" t="n">
        <v>1.59300005435944</v>
      </c>
      <c r="B18" s="24" t="n">
        <v>9.45653247833252</v>
      </c>
    </row>
    <row r="19" customFormat="false" ht="13.8" hidden="false" customHeight="false" outlineLevel="0" collapsed="false">
      <c r="A19" s="24" t="n">
        <v>1.64170002937317</v>
      </c>
      <c r="B19" s="24" t="n">
        <v>9.964599609375</v>
      </c>
    </row>
    <row r="20" customFormat="false" ht="13.8" hidden="false" customHeight="false" outlineLevel="0" collapsed="false">
      <c r="A20" s="24" t="n">
        <v>1.67999994754791</v>
      </c>
      <c r="B20" s="24" t="n">
        <v>11.0770998001099</v>
      </c>
    </row>
    <row r="21" customFormat="false" ht="13.8" hidden="false" customHeight="false" outlineLevel="0" collapsed="false">
      <c r="A21" s="24" t="n">
        <v>1.74510002136231</v>
      </c>
      <c r="B21" s="24" t="n">
        <v>12.5194997787476</v>
      </c>
    </row>
    <row r="22" customFormat="false" ht="13.8" hidden="false" customHeight="false" outlineLevel="0" collapsed="false">
      <c r="A22" s="24" t="n">
        <v>1.80999994277954</v>
      </c>
      <c r="B22" s="24" t="n">
        <v>15.0081624984741</v>
      </c>
    </row>
    <row r="23" customFormat="false" ht="13.8" hidden="false" customHeight="false" outlineLevel="0" collapsed="false">
      <c r="A23" s="24" t="n">
        <v>1.85000002384186</v>
      </c>
      <c r="B23" s="24" t="n">
        <v>15.6571998596191</v>
      </c>
    </row>
    <row r="24" customFormat="false" ht="13.8" hidden="false" customHeight="false" outlineLevel="0" collapsed="false">
      <c r="A24" s="24" t="n">
        <v>1.9099999666214</v>
      </c>
      <c r="B24" s="24" t="n">
        <v>17.5491237640381</v>
      </c>
    </row>
    <row r="25" customFormat="false" ht="13.8" hidden="false" customHeight="false" outlineLevel="0" collapsed="false">
      <c r="A25" s="24" t="n">
        <v>1.98880004882813</v>
      </c>
      <c r="B25" s="24" t="n">
        <v>20.1315269470215</v>
      </c>
    </row>
    <row r="26" customFormat="false" ht="13.8" hidden="false" customHeight="false" outlineLevel="0" collapsed="false">
      <c r="A26" s="24" t="n">
        <v>2.04999995231628</v>
      </c>
      <c r="B26" s="24" t="n">
        <v>22.0675048828125</v>
      </c>
    </row>
    <row r="27" customFormat="false" ht="13.8" hidden="false" customHeight="false" outlineLevel="0" collapsed="false">
      <c r="A27" s="24" t="n">
        <v>2.11520004272461</v>
      </c>
      <c r="B27" s="24" t="n">
        <v>24.2800731658936</v>
      </c>
    </row>
    <row r="28" customFormat="false" ht="13.8" hidden="false" customHeight="false" outlineLevel="0" collapsed="false">
      <c r="A28" s="24" t="n">
        <v>2.16820001602173</v>
      </c>
      <c r="B28" s="24" t="n">
        <v>27.4472961425781</v>
      </c>
    </row>
    <row r="29" customFormat="false" ht="13.8" hidden="false" customHeight="false" outlineLevel="0" collapsed="false">
      <c r="A29" s="24" t="n">
        <v>2.25300002098084</v>
      </c>
      <c r="B29" s="24" t="n">
        <v>30.9146862030029</v>
      </c>
    </row>
    <row r="30" customFormat="false" ht="13.8" hidden="false" customHeight="false" outlineLevel="0" collapsed="false">
      <c r="A30" s="24" t="n">
        <v>2.28489995002747</v>
      </c>
      <c r="B30" s="24" t="n">
        <v>33.7314414978027</v>
      </c>
    </row>
    <row r="31" customFormat="false" ht="13.8" hidden="false" customHeight="false" outlineLevel="0" collapsed="false">
      <c r="A31" s="24" t="n">
        <v>2.38770008087158</v>
      </c>
      <c r="B31" s="24" t="n">
        <v>37.5734634399414</v>
      </c>
    </row>
    <row r="32" customFormat="false" ht="13.8" hidden="false" customHeight="false" outlineLevel="0" collapsed="false">
      <c r="A32" s="24" t="n">
        <v>2.44899988174439</v>
      </c>
      <c r="B32" s="24" t="n">
        <v>42.2183265686035</v>
      </c>
    </row>
    <row r="33" customFormat="false" ht="13.8" hidden="false" customHeight="false" outlineLevel="0" collapsed="false">
      <c r="A33" s="24" t="n">
        <v>2.54819989204407</v>
      </c>
      <c r="B33" s="24" t="n">
        <v>47.372917175293</v>
      </c>
    </row>
    <row r="34" customFormat="false" ht="13.8" hidden="false" customHeight="false" outlineLevel="0" collapsed="false">
      <c r="A34" s="24" t="n">
        <v>2.61999988555908</v>
      </c>
      <c r="B34" s="24" t="n">
        <v>50.5260696411133</v>
      </c>
    </row>
    <row r="35" customFormat="false" ht="13.8" hidden="false" customHeight="false" outlineLevel="0" collapsed="false">
      <c r="A35" s="24" t="n">
        <v>2.73270010948181</v>
      </c>
      <c r="B35" s="24" t="n">
        <v>58.5389595031738</v>
      </c>
    </row>
    <row r="36" customFormat="false" ht="13.8" hidden="false" customHeight="false" outlineLevel="0" collapsed="false">
      <c r="A36" s="24" t="n">
        <v>2.82739996910095</v>
      </c>
      <c r="B36" s="24" t="n">
        <v>67.1706237792969</v>
      </c>
    </row>
    <row r="37" customFormat="false" ht="13.8" hidden="false" customHeight="false" outlineLevel="0" collapsed="false">
      <c r="A37" s="24" t="n">
        <v>2.91249990463257</v>
      </c>
      <c r="B37" s="24" t="n">
        <v>72.7894744873047</v>
      </c>
    </row>
    <row r="38" customFormat="false" ht="13.8" hidden="false" customHeight="false" outlineLevel="0" collapsed="false">
      <c r="A38" s="24" t="n">
        <v>2.99000000953674</v>
      </c>
      <c r="B38" s="24" t="n">
        <v>84.9892501831055</v>
      </c>
    </row>
    <row r="39" customFormat="false" ht="13.8" hidden="false" customHeight="false" outlineLevel="0" collapsed="false">
      <c r="A39" s="24" t="n">
        <v>3.06539988517761</v>
      </c>
      <c r="B39" s="24" t="n">
        <v>90.1319732666016</v>
      </c>
    </row>
    <row r="40" customFormat="false" ht="13.8" hidden="false" customHeight="false" outlineLevel="0" collapsed="false">
      <c r="A40" s="24" t="n">
        <v>3.15079998970032</v>
      </c>
      <c r="B40" s="24" t="n">
        <v>100.619087219238</v>
      </c>
    </row>
    <row r="41" customFormat="false" ht="13.8" hidden="false" customHeight="false" outlineLevel="0" collapsed="false">
      <c r="A41" s="24" t="n">
        <v>3.25999999046326</v>
      </c>
      <c r="B41" s="24" t="n">
        <v>114.256034851074</v>
      </c>
    </row>
    <row r="42" customFormat="false" ht="13.8" hidden="false" customHeight="false" outlineLevel="0" collapsed="false">
      <c r="A42" s="24" t="n">
        <v>3.40799999237061</v>
      </c>
      <c r="B42" s="24" t="n">
        <v>138.519149780273</v>
      </c>
    </row>
    <row r="43" customFormat="false" ht="13.8" hidden="false" customHeight="false" outlineLevel="0" collapsed="false">
      <c r="A43" s="24" t="n">
        <v>3.51999998092651</v>
      </c>
      <c r="B43" s="24" t="n">
        <v>165.102005004883</v>
      </c>
    </row>
    <row r="44" customFormat="false" ht="13.8" hidden="false" customHeight="false" outlineLevel="0" collapsed="false">
      <c r="A44" s="24" t="n">
        <v>3.6136999130249</v>
      </c>
      <c r="B44" s="24" t="n">
        <v>172.401794433594</v>
      </c>
    </row>
    <row r="45" customFormat="false" ht="13.8" hidden="false" customHeight="false" outlineLevel="0" collapsed="false">
      <c r="A45" s="24" t="n">
        <v>3.70980000495911</v>
      </c>
      <c r="B45" s="24" t="n">
        <v>177.898651123047</v>
      </c>
    </row>
    <row r="46" customFormat="false" ht="13.8" hidden="false" customHeight="false" outlineLevel="0" collapsed="false">
      <c r="A46" s="24" t="n">
        <v>3.83999991416931</v>
      </c>
      <c r="B46" s="24" t="n">
        <v>203.509963989258</v>
      </c>
    </row>
    <row r="47" customFormat="false" ht="13.8" hidden="false" customHeight="false" outlineLevel="0" collapsed="false">
      <c r="A47" s="24" t="n">
        <v>3.96770000457764</v>
      </c>
      <c r="B47" s="24" t="n">
        <v>232.278167724609</v>
      </c>
    </row>
    <row r="48" customFormat="false" ht="13.8" hidden="false" customHeight="false" outlineLevel="0" collapsed="false">
      <c r="A48" s="24" t="n">
        <v>4.1100001335144</v>
      </c>
      <c r="B48" s="24" t="n">
        <v>262.958587646484</v>
      </c>
    </row>
    <row r="49" customFormat="false" ht="13.8" hidden="false" customHeight="false" outlineLevel="0" collapsed="false">
      <c r="A49" s="24" t="n">
        <v>4.23379993438721</v>
      </c>
      <c r="B49" s="24" t="n">
        <v>291.804168701172</v>
      </c>
    </row>
    <row r="50" customFormat="false" ht="13.8" hidden="false" customHeight="false" outlineLevel="0" collapsed="false">
      <c r="A50" s="24" t="n">
        <v>4.36899995803833</v>
      </c>
      <c r="B50" s="24" t="n">
        <v>323.187774658203</v>
      </c>
    </row>
    <row r="51" customFormat="false" ht="13.8" hidden="false" customHeight="false" outlineLevel="0" collapsed="false">
      <c r="A51" s="24" t="n">
        <v>4.51999998092651</v>
      </c>
      <c r="B51" s="24" t="n">
        <v>356.452819824219</v>
      </c>
    </row>
    <row r="52" customFormat="false" ht="13.8" hidden="false" customHeight="false" outlineLevel="0" collapsed="false">
      <c r="A52" s="24" t="n">
        <v>4.66709995269775</v>
      </c>
      <c r="B52" s="24" t="n">
        <v>379.2666015625</v>
      </c>
    </row>
    <row r="53" customFormat="false" ht="13.8" hidden="false" customHeight="false" outlineLevel="0" collapsed="false">
      <c r="A53" s="24" t="n">
        <v>4.78999996185303</v>
      </c>
      <c r="B53" s="24" t="n">
        <v>404.859191894531</v>
      </c>
    </row>
    <row r="54" customFormat="false" ht="13.8" hidden="false" customHeight="false" outlineLevel="0" collapsed="false">
      <c r="A54" s="24" t="n">
        <v>4.96339988708496</v>
      </c>
      <c r="B54" s="24" t="n">
        <v>440.614990234375</v>
      </c>
    </row>
  </sheetData>
  <printOptions headings="false" gridLines="false" gridLinesSet="true" horizontalCentered="false" verticalCentered="false"/>
  <pageMargins left="0.7875" right="0.7875" top="1.05277777777778" bottom="1.05277777777778" header="0.7875" footer="0.7875"/>
  <pageSetup paperSize="1"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426</TotalTime>
  <Application>LibreOffice/26.2.2.2$Windows_X86_64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2024-04-09T12:00:04Z</dcterms:created>
  <dc:creator>Dean</dc:creator>
  <dc:description/>
  <dc:language>en-US</dc:language>
  <cp:lastModifiedBy/>
  <dcterms:modified xsi:type="dcterms:W3CDTF">2026-05-11T18:50:54Z</dcterms:modified>
  <cp:revision>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HyperlinksChanged">
    <vt:bool>0</vt:bool>
  </property>
  <property fmtid="{D5CDD505-2E9C-101B-9397-08002B2CF9AE}" pid="3" name="LinksUpToDate">
    <vt:bool>0</vt:bool>
  </property>
  <property fmtid="{D5CDD505-2E9C-101B-9397-08002B2CF9AE}" pid="4" name="ScaleCrop">
    <vt:bool>0</vt:bool>
  </property>
  <property fmtid="{D5CDD505-2E9C-101B-9397-08002B2CF9AE}" pid="5" name="ShareDoc">
    <vt:bool>0</vt:bool>
  </property>
</Properties>
</file>